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smaConc_sc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<sst xmlns="http://schemas.openxmlformats.org/spreadsheetml/2006/main" count="15" uniqueCount="11">
  <si>
    <t xml:space="preserve">time [days]</t>
  </si>
  <si>
    <t xml:space="preserve">time_scanned [days]</t>
  </si>
  <si>
    <t xml:space="preserve">older18 (conc.) [µg/ml]</t>
  </si>
  <si>
    <t xml:space="preserve">Error(Arithm) older18 [µg/ml]</t>
  </si>
  <si>
    <t xml:space="preserve">12to17 (conc.) [µg/ml]</t>
  </si>
  <si>
    <t xml:space="preserve">Error(Arithm) 12to17 [µg/ml]</t>
  </si>
  <si>
    <t xml:space="preserve">2to11 (conc.) [µg/ml]</t>
  </si>
  <si>
    <t xml:space="preserve">Error(Arithm) 2to11 [µg/ml]</t>
  </si>
  <si>
    <t xml:space="preserve">less2 (conc.) [µg/ml]</t>
  </si>
  <si>
    <t xml:space="preserve">Geoerger2020_Atelizumab.pdf</t>
  </si>
  <si>
    <t xml:space="preserve">Geoerger2020, DOI: 10.1016/S1470-2045(19)30693-X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</si>
</sst>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sz val="11"/>
      <color rgb="FFFF00FF"/>
      <name val="Calibri"/>
      <family val="0"/>
      <charset val="1"/>
    </font>
    <font>
      <sz val="11"/>
      <color rgb="FF8A2BE2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A2BE2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~/Geoerger2020_Atelizumab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10.679687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0</v>
      </c>
      <c r="B1" s="1" t="s">
        <v>1</v>
      </c>
      <c r="D1" s="1" t="s">
        <v>0</v>
      </c>
      <c r="E1" s="2" t="s">
        <v>2</v>
      </c>
      <c r="F1" s="2" t="s">
        <v>3</v>
      </c>
      <c r="G1" s="1" t="s">
        <v>0</v>
      </c>
      <c r="H1" s="3" t="s">
        <v>4</v>
      </c>
      <c r="I1" s="3" t="s">
        <v>5</v>
      </c>
      <c r="J1" s="1" t="s">
        <v>0</v>
      </c>
      <c r="K1" s="4" t="s">
        <v>6</v>
      </c>
      <c r="L1" s="4" t="s">
        <v>7</v>
      </c>
      <c r="M1" s="1" t="s">
        <v>0</v>
      </c>
      <c r="N1" s="5" t="s">
        <v>8</v>
      </c>
      <c r="P1" s="6" t="s">
        <v>9</v>
      </c>
    </row>
    <row r="2" customFormat="false" ht="14.25" hidden="false" customHeight="false" outlineLevel="0" collapsed="false">
      <c r="A2" s="1" t="n">
        <f aca="false">1/24</f>
        <v>0.0416666666666667</v>
      </c>
      <c r="D2" s="1" t="n">
        <v>-3.552714E-015</v>
      </c>
      <c r="E2" s="1" t="n">
        <v>462.6891</v>
      </c>
      <c r="F2" s="7" t="n">
        <v>70.98083</v>
      </c>
      <c r="G2" s="1" t="n">
        <v>0</v>
      </c>
      <c r="H2" s="1" t="n">
        <v>357.8648</v>
      </c>
      <c r="I2" s="7" t="n">
        <v>66.85172</v>
      </c>
      <c r="J2" s="1" t="n">
        <v>0</v>
      </c>
      <c r="K2" s="1" t="n">
        <v>323.8401</v>
      </c>
      <c r="L2" s="7" t="n">
        <v>90.61859</v>
      </c>
      <c r="M2" s="1" t="n">
        <v>7.105427E-015</v>
      </c>
      <c r="N2" s="1" t="n">
        <v>103.3863</v>
      </c>
      <c r="P2" s="1" t="s">
        <v>10</v>
      </c>
    </row>
    <row r="3" customFormat="false" ht="14.25" hidden="false" customHeight="false" outlineLevel="0" collapsed="false">
      <c r="A3" s="1" t="n">
        <v>7</v>
      </c>
      <c r="D3" s="1" t="n">
        <v>7.099828</v>
      </c>
      <c r="E3" s="1" t="n">
        <v>185.6073</v>
      </c>
      <c r="F3" s="7" t="n">
        <v>47.6142</v>
      </c>
      <c r="G3" s="1" t="n">
        <v>6.841652</v>
      </c>
      <c r="H3" s="1" t="n">
        <v>145.6207</v>
      </c>
      <c r="I3" s="7" t="n">
        <v>39.9866</v>
      </c>
      <c r="J3" s="1" t="n">
        <v>6.97074</v>
      </c>
      <c r="K3" s="1" t="n">
        <v>120.9608</v>
      </c>
      <c r="L3" s="7" t="n">
        <v>27.40421</v>
      </c>
    </row>
    <row r="4" customFormat="false" ht="14.25" hidden="false" customHeight="false" outlineLevel="0" collapsed="false">
      <c r="A4" s="1" t="n">
        <v>21</v>
      </c>
      <c r="D4" s="1" t="n">
        <v>20.91222</v>
      </c>
      <c r="E4" s="1" t="n">
        <v>89.63535</v>
      </c>
      <c r="F4" s="7" t="n">
        <v>36.61705</v>
      </c>
      <c r="G4" s="1" t="n">
        <v>20.91222</v>
      </c>
      <c r="H4" s="1" t="n">
        <v>60.10708</v>
      </c>
      <c r="I4" s="7" t="n">
        <v>21.006</v>
      </c>
      <c r="J4" s="1" t="n">
        <v>21.04131</v>
      </c>
      <c r="K4" s="1" t="n">
        <v>60.10708</v>
      </c>
      <c r="L4" s="7" t="n">
        <v>16.81947</v>
      </c>
      <c r="M4" s="1" t="n">
        <v>20.91222</v>
      </c>
      <c r="N4" s="1" t="n">
        <v>24.1119</v>
      </c>
    </row>
    <row r="5" customFormat="false" ht="14.25" hidden="false" customHeight="false" outlineLevel="0" collapsed="false">
      <c r="A5" s="1" t="n">
        <v>42</v>
      </c>
      <c r="D5" s="1" t="n">
        <v>42.08261</v>
      </c>
      <c r="E5" s="1" t="n">
        <v>163.2337</v>
      </c>
      <c r="F5" s="7" t="n">
        <v>73.34026</v>
      </c>
      <c r="G5" s="1" t="n">
        <v>42.08261</v>
      </c>
      <c r="H5" s="1" t="n">
        <v>92.23081</v>
      </c>
      <c r="I5" s="7" t="n">
        <v>34.02159</v>
      </c>
      <c r="J5" s="1" t="n">
        <v>41.95353</v>
      </c>
      <c r="K5" s="1" t="n">
        <v>82.27905</v>
      </c>
      <c r="L5" s="7" t="n">
        <v>36.4483</v>
      </c>
    </row>
    <row r="6" customFormat="false" ht="14.25" hidden="false" customHeight="false" outlineLevel="0" collapsed="false">
      <c r="A6" s="1" t="n">
        <v>63</v>
      </c>
      <c r="D6" s="1" t="n">
        <v>62.99484</v>
      </c>
      <c r="E6" s="1" t="n">
        <v>147.7139</v>
      </c>
      <c r="F6" s="7" t="n">
        <v>88.86006</v>
      </c>
      <c r="G6" s="1" t="n">
        <v>62.99484</v>
      </c>
      <c r="H6" s="1" t="n">
        <v>119.2467</v>
      </c>
      <c r="I6" s="7" t="n">
        <v>49.91863</v>
      </c>
      <c r="J6" s="1" t="n">
        <v>62.99484</v>
      </c>
      <c r="K6" s="1" t="n">
        <v>103.3863</v>
      </c>
      <c r="L6" s="7" t="n">
        <v>28.93011</v>
      </c>
    </row>
    <row r="7" customFormat="false" ht="14.25" hidden="false" customHeight="false" outlineLevel="0" collapsed="false">
      <c r="A7" s="1" t="n">
        <f aca="false">63+1/24</f>
        <v>63.0416666666667</v>
      </c>
      <c r="D7" s="1" t="n">
        <v>62.99484</v>
      </c>
      <c r="E7" s="1" t="n">
        <v>651.7028</v>
      </c>
      <c r="F7" s="7" t="n">
        <v>144.1384</v>
      </c>
      <c r="G7" s="1" t="n">
        <v>63.12392</v>
      </c>
      <c r="H7" s="1" t="n">
        <v>418.6979</v>
      </c>
      <c r="I7" s="7" t="n">
        <v>162.6858</v>
      </c>
      <c r="J7" s="1" t="n">
        <v>63.12392</v>
      </c>
      <c r="K7" s="1" t="n">
        <v>373.5202</v>
      </c>
      <c r="L7" s="7" t="n">
        <v>69.77621</v>
      </c>
    </row>
    <row r="8" customFormat="false" ht="14.25" hidden="false" customHeight="false" outlineLevel="0" collapsed="false">
      <c r="A8" s="1" t="n">
        <v>147</v>
      </c>
      <c r="D8" s="1" t="n">
        <v>147.031</v>
      </c>
      <c r="E8" s="1" t="n">
        <v>211.0475</v>
      </c>
      <c r="F8" s="7" t="n">
        <v>17.32054</v>
      </c>
      <c r="G8" s="1" t="n">
        <v>147.031</v>
      </c>
      <c r="H8" s="1" t="n">
        <v>145.6207</v>
      </c>
      <c r="I8" s="7" t="n">
        <v>28.06385</v>
      </c>
      <c r="J8" s="1" t="n">
        <v>146.9019</v>
      </c>
      <c r="K8" s="1" t="n">
        <v>167.9603</v>
      </c>
      <c r="L8" s="7" t="n">
        <v>31.37617</v>
      </c>
    </row>
  </sheetData>
  <hyperlinks>
    <hyperlink ref="P1" r:id="rId1" display="Geoerger2020_Atelizumab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2026-03-06T17:30:07Z</dcterms:created>
  <dc:creator>Dr. Christoph Niederalt</dc:creator>
  <dc:description/>
  <dc:language>en-US</dc:language>
  <cp:lastModifiedBy/>
  <dcterms:modified xsi:type="dcterms:W3CDTF">2026-08-14T09:51:12Z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ActionId">
    <vt:lpwstr>2386e71e-7bee-42b3-8c38-1341573a7ea9</vt:lpwstr>
  </property>
  <property fmtid="{D5CDD505-2E9C-101B-9397-08002B2CF9AE}" pid="3" name="MSIP_Label_7f850223-87a8-40c3-9eb2-432606efca2a_ContentBits">
    <vt:lpwstr>0</vt:lpwstr>
  </property>
  <property fmtid="{D5CDD505-2E9C-101B-9397-08002B2CF9AE}" pid="4" name="MSIP_Label_7f850223-87a8-40c3-9eb2-432606efca2a_Enabled">
    <vt:lpwstr>true</vt:lpwstr>
  </property>
  <property fmtid="{D5CDD505-2E9C-101B-9397-08002B2CF9AE}" pid="5" name="MSIP_Label_7f850223-87a8-40c3-9eb2-432606efca2a_Method">
    <vt:lpwstr>Standard</vt:lpwstr>
  </property>
  <property fmtid="{D5CDD505-2E9C-101B-9397-08002B2CF9AE}" pid="6" name="MSIP_Label_7f850223-87a8-40c3-9eb2-432606efca2a_Name">
    <vt:lpwstr>7f850223-87a8-40c3-9eb2-432606efca2a</vt:lpwstr>
  </property>
  <property fmtid="{D5CDD505-2E9C-101B-9397-08002B2CF9AE}" pid="7" name="MSIP_Label_7f850223-87a8-40c3-9eb2-432606efca2a_SetDate">
    <vt:lpwstr>2026-03-24T15:47:41Z</vt:lpwstr>
  </property>
  <property fmtid="{D5CDD505-2E9C-101B-9397-08002B2CF9AE}" pid="8" name="MSIP_Label_7f850223-87a8-40c3-9eb2-432606efca2a_SiteId">
    <vt:lpwstr>fcb2b37b-5da0-466b-9b83-0014b67a7c78</vt:lpwstr>
  </property>
  <property fmtid="{D5CDD505-2E9C-101B-9397-08002B2CF9AE}" pid="9" name="MSIP_Label_7f850223-87a8-40c3-9eb2-432606efca2a_Tag">
    <vt:lpwstr>10, 3, 0, 1</vt:lpwstr>
  </property>
</Properties>
</file>