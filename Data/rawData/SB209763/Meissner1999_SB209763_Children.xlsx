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g1" sheetId="1" state="visible" r:id="rId3"/>
    <sheet name="HalfLifeCalc"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<sst xmlns="http://schemas.openxmlformats.org/spreadsheetml/2006/main" count="19" uniqueCount="13">
  <si>
    <t xml:space="preserve">Time [weeks]</t>
  </si>
  <si>
    <t xml:space="preserve">Time_scanned [weeks]</t>
  </si>
  <si>
    <t xml:space="preserve">0p25mgkg (conc.) [µg/ml]</t>
  </si>
  <si>
    <t xml:space="preserve">Error(Arithm) 0p25mgkg [µg/ml]</t>
  </si>
  <si>
    <t xml:space="preserve">1p25 mgkg (conc.) [µg/ml]</t>
  </si>
  <si>
    <t xml:space="preserve">Error(Arithm) 1p25 mgkg [µg/ml]</t>
  </si>
  <si>
    <t xml:space="preserve">5 mgkg (conc.) [µg/ml]</t>
  </si>
  <si>
    <t xml:space="preserve">Error(Arithm) 5 mgkg [µg/ml]</t>
  </si>
  <si>
    <t xml:space="preserve">10 mgkg (conc.) [µg/ml]</t>
  </si>
  <si>
    <t xml:space="preserve">Error(Arithm) 10 mgkg [µg/ml]</t>
  </si>
  <si>
    <t xml:space="preserve">Meissner1999_SB209763_Children.pdf</t>
  </si>
  <si>
    <t xml:space="preserve">Meissner HCGroothuis JR, Rodriguez WJ, Welliver RC, Hogg G, Gray PH, Loh R, Simoes EAF, Sly P, Miller AK, Nichols AIJorkasky DK, Everitt DE, Thompson KA. 1999. Safety and Pharmacokinetics of an Intramuscular Monoclonal Antibody (SB 209763) against Respiratory Syncytial Virus (RSV) in Infants and Young Children at Risk for Severe RSV Disease. Antimicrob Agents Chemother 43:.</t>
  </si>
  <si>
    <t xml:space="preserve">https://doi.org/10.1128/aac.43.5.1183</t>
  </si>
</sst>
</file>

<file path=xl/styles.xml><?xml version="1.0" encoding="utf-8"?>
<styleSheet xmlns="http://schemas.openxmlformats.org/spreadsheetml/2006/main">
  <numFmts count="1">
    <numFmt numFmtId="164" formatCode="General"/>
  </numFmts>
  <fonts count="10">
    <font>
      <sz val="11"/>
      <name val="Calibri"/>
      <family val="2"/>
      <charset val="1"/>
    </font>
    <font>
      <sz val="10"/>
      <name val="Arial"/>
      <family val="0"/>
    </font>
    <font>
      <sz val="10"/>
      <name val="Arial"/>
      <family val="0"/>
    </font>
    <font>
      <sz val="10"/>
      <name val="Arial"/>
      <family val="0"/>
    </font>
    <font>
      <sz val="11"/>
      <color rgb="FF0000FF"/>
      <name val="Calibri"/>
      <family val="0"/>
      <charset val="1"/>
    </font>
    <font>
      <sz val="11"/>
      <color rgb="FF008000"/>
      <name val="Calibri"/>
      <family val="0"/>
      <charset val="1"/>
    </font>
    <font>
      <sz val="11"/>
      <color rgb="FFFF00FF"/>
      <name val="Calibri"/>
      <family val="0"/>
      <charset val="1"/>
    </font>
    <font>
      <sz val="11"/>
      <color rgb="FF8A2BE2"/>
      <name val="Calibri"/>
      <family val="0"/>
      <charset val="1"/>
    </font>
    <font>
      <u val="single"/>
      <sz val="11"/>
      <color theme="10"/>
      <name val="Calibri"/>
      <family val="0"/>
      <charset val="1"/>
    </font>
    <font>
      <sz val="11"/>
      <color rgb="FF000000"/>
      <name val="Calibri"/>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A2BE2"/>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mpd="sng" algn="ctr">
          <a:prstDash val="solid"/>
        </a:ln>
        <a:ln w="25400" cmpd="sng" algn="ctr">
          <a:prstDash val="solid"/>
        </a:ln>
        <a:ln w="38100"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ZFNTC/Downloads/Meissner1999_SB209763_Children.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9" activeCellId="0" sqref="C29"/>
    </sheetView>
  </sheetViews>
  <sheetFormatPr defaultColWidth="10.6796875" defaultRowHeight="14.25" customHeight="true" zeroHeight="false" outlineLevelRow="0" outlineLevelCol="0"/>
  <cols>
    <col collapsed="false" customWidth="true" hidden="false" outlineLevel="0" max="5" min="5" style="0" width="22.45"/>
  </cols>
  <sheetData>
    <row r="1" customFormat="false" ht="14.25" hidden="false" customHeight="false" outlineLevel="0" collapsed="false">
      <c r="A1" s="0" t="s">
        <v>0</v>
      </c>
      <c r="B1" s="0" t="s">
        <v>1</v>
      </c>
      <c r="D1" s="1" t="s">
        <v>2</v>
      </c>
      <c r="E1" s="1" t="s">
        <v>3</v>
      </c>
      <c r="F1" s="2" t="s">
        <v>4</v>
      </c>
      <c r="G1" s="2" t="s">
        <v>5</v>
      </c>
      <c r="H1" s="3" t="s">
        <v>6</v>
      </c>
      <c r="I1" s="3" t="s">
        <v>7</v>
      </c>
      <c r="J1" s="4" t="s">
        <v>8</v>
      </c>
      <c r="K1" s="4" t="s">
        <v>9</v>
      </c>
      <c r="M1" s="5" t="s">
        <v>10</v>
      </c>
    </row>
    <row r="2" customFormat="false" ht="14.25" hidden="false" customHeight="false" outlineLevel="0" collapsed="false">
      <c r="A2" s="0" t="n">
        <v>0.1271641</v>
      </c>
      <c r="B2" s="0" t="n">
        <v>0.1271641</v>
      </c>
      <c r="D2" s="0" t="n">
        <v>1.307542</v>
      </c>
      <c r="E2" s="6" t="n">
        <v>0.4837425</v>
      </c>
      <c r="F2" s="0" t="n">
        <v>5.115178</v>
      </c>
      <c r="G2" s="6" t="n">
        <v>2.242891</v>
      </c>
      <c r="H2" s="0" t="n">
        <v>13.38389</v>
      </c>
      <c r="I2" s="6" t="n">
        <v>9.840923</v>
      </c>
      <c r="J2" s="0" t="n">
        <v>30.98413</v>
      </c>
      <c r="K2" s="6" t="n">
        <v>7.234795</v>
      </c>
      <c r="M2" s="0" t="s">
        <v>11</v>
      </c>
    </row>
    <row r="3" customFormat="false" ht="14.25" hidden="false" customHeight="false" outlineLevel="0" collapsed="false">
      <c r="A3" s="0" t="n">
        <v>0.8277553</v>
      </c>
      <c r="B3" s="0" t="n">
        <v>0.8277553</v>
      </c>
      <c r="D3" s="0" t="n">
        <v>1.791284</v>
      </c>
      <c r="E3" s="6" t="n">
        <v>0.5372823</v>
      </c>
      <c r="F3" s="0" t="n">
        <v>7.385067</v>
      </c>
      <c r="G3" s="6" t="n">
        <v>2.269889</v>
      </c>
      <c r="H3" s="0" t="n">
        <v>22.22468</v>
      </c>
      <c r="I3" s="6" t="n">
        <v>16.02449</v>
      </c>
      <c r="J3" s="0" t="n">
        <v>35.6368</v>
      </c>
      <c r="K3" s="6" t="n">
        <v>14.92208</v>
      </c>
      <c r="M3" s="0" t="s">
        <v>12</v>
      </c>
    </row>
    <row r="4" customFormat="false" ht="14.25" hidden="false" customHeight="false" outlineLevel="0" collapsed="false">
      <c r="A4" s="0" t="n">
        <v>2.004321</v>
      </c>
      <c r="B4" s="0" t="n">
        <v>2.004321</v>
      </c>
      <c r="D4" s="0" t="n">
        <v>1.377972</v>
      </c>
      <c r="E4" s="6" t="n">
        <v>0.4133124</v>
      </c>
      <c r="F4" s="0" t="n">
        <v>5.88329</v>
      </c>
      <c r="G4" s="6" t="n">
        <v>1.663251</v>
      </c>
      <c r="H4" s="0" t="n">
        <v>17.70522</v>
      </c>
      <c r="I4" s="6" t="n">
        <v>8.908843</v>
      </c>
      <c r="J4" s="0" t="n">
        <v>32.65307</v>
      </c>
      <c r="K4" s="6" t="n">
        <v>12.86961</v>
      </c>
    </row>
    <row r="5" customFormat="false" ht="14.25" hidden="false" customHeight="false" outlineLevel="0" collapsed="false">
      <c r="A5" s="0" t="n">
        <v>8.001139</v>
      </c>
      <c r="B5" s="0" t="n">
        <v>8.001139</v>
      </c>
      <c r="D5" s="0" t="n">
        <v>0.4997286</v>
      </c>
      <c r="E5" s="6" t="n">
        <v>0.2474385</v>
      </c>
      <c r="F5" s="0" t="n">
        <v>2.497287</v>
      </c>
      <c r="G5" s="6" t="n">
        <v>0.9398695</v>
      </c>
      <c r="H5" s="0" t="n">
        <v>8.494033</v>
      </c>
      <c r="I5" s="6" t="n">
        <v>5.610772</v>
      </c>
      <c r="J5" s="0" t="n">
        <v>14.35364</v>
      </c>
      <c r="K5" s="6" t="n">
        <v>6.369507</v>
      </c>
    </row>
    <row r="6" customFormat="false" ht="14.25" hidden="false" customHeight="false" outlineLevel="0" collapsed="false">
      <c r="A6" s="0" t="n">
        <v>8.845731</v>
      </c>
      <c r="B6" s="0" t="n">
        <v>8.845731</v>
      </c>
      <c r="D6" s="0" t="n">
        <v>2.06027</v>
      </c>
      <c r="E6" s="6" t="n">
        <v>0.5715318</v>
      </c>
      <c r="F6" s="0" t="n">
        <v>8.346781</v>
      </c>
      <c r="G6" s="6" t="n">
        <v>3.320279</v>
      </c>
      <c r="H6" s="0" t="n">
        <v>28.38995</v>
      </c>
      <c r="I6" s="6" t="n">
        <v>13.5254</v>
      </c>
      <c r="J6" s="0" t="n">
        <v>60.22084</v>
      </c>
      <c r="K6" s="6" t="n">
        <v>29.8181</v>
      </c>
    </row>
    <row r="7" customFormat="false" ht="14.25" hidden="false" customHeight="false" outlineLevel="0" collapsed="false">
      <c r="A7" s="0" t="n">
        <v>9.979809</v>
      </c>
      <c r="B7" s="0" t="n">
        <v>9.979809</v>
      </c>
      <c r="D7" s="0" t="n">
        <v>2.133605</v>
      </c>
      <c r="E7" s="6" t="n">
        <v>0.6888883</v>
      </c>
      <c r="F7" s="0" t="n">
        <v>8.202081</v>
      </c>
      <c r="G7" s="6" t="n">
        <v>1.892507</v>
      </c>
      <c r="H7" s="0" t="n">
        <v>21.83939</v>
      </c>
      <c r="I7" s="6" t="n">
        <v>13.7795</v>
      </c>
      <c r="J7" s="0" t="n">
        <v>54.22221</v>
      </c>
      <c r="K7" s="6" t="n">
        <v>22.70429</v>
      </c>
    </row>
    <row r="8" customFormat="false" ht="14.25" hidden="false" customHeight="false" outlineLevel="0" collapsed="false">
      <c r="A8" s="0" t="n">
        <v>16.01595</v>
      </c>
      <c r="B8" s="0" t="n">
        <v>16.01595</v>
      </c>
      <c r="D8" s="0" t="n">
        <v>0.7603484</v>
      </c>
      <c r="E8" s="6" t="n">
        <v>0.2109256</v>
      </c>
      <c r="F8" s="0" t="n">
        <v>2.773563</v>
      </c>
      <c r="G8" s="6" t="n">
        <v>1.216145</v>
      </c>
      <c r="H8" s="0" t="n">
        <v>11.23655</v>
      </c>
      <c r="I8" s="6" t="n">
        <v>6.031131</v>
      </c>
      <c r="J8" s="0" t="n">
        <v>20.72315</v>
      </c>
      <c r="K8" s="6" t="n">
        <v>10.26097</v>
      </c>
    </row>
  </sheetData>
  <hyperlinks>
    <hyperlink ref="M1" r:id="rId1" display="Meissner1999_SB209763_Children.pdf"/>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10.6796875" defaultRowHeight="14.25" customHeight="true" zeroHeight="false" outlineLevelRow="0" outlineLevelCol="0"/>
  <cols>
    <col collapsed="false" customWidth="true" hidden="false" outlineLevel="0" max="5" min="5" style="0" width="17.36"/>
  </cols>
  <sheetData>
    <row r="1" customFormat="false" ht="14.25" hidden="false" customHeight="false" outlineLevel="0" collapsed="false">
      <c r="A1" s="0" t="s">
        <v>0</v>
      </c>
      <c r="B1" s="0" t="s">
        <v>1</v>
      </c>
      <c r="D1" s="1" t="s">
        <v>2</v>
      </c>
      <c r="E1" s="1"/>
      <c r="F1" s="2" t="s">
        <v>4</v>
      </c>
      <c r="G1" s="2"/>
      <c r="H1" s="3" t="s">
        <v>6</v>
      </c>
      <c r="I1" s="3"/>
      <c r="J1" s="4" t="s">
        <v>8</v>
      </c>
      <c r="K1" s="4"/>
    </row>
    <row r="2" customFormat="false" ht="14.25" hidden="false" customHeight="false" outlineLevel="0" collapsed="false">
      <c r="A2" s="0" t="n">
        <v>0.1271641</v>
      </c>
      <c r="B2" s="0" t="n">
        <v>0.1271641</v>
      </c>
      <c r="D2" s="0" t="n">
        <v>1.307542</v>
      </c>
      <c r="E2" s="6"/>
      <c r="F2" s="0" t="n">
        <v>5.115178</v>
      </c>
      <c r="G2" s="6"/>
      <c r="H2" s="0" t="n">
        <v>13.38389</v>
      </c>
      <c r="I2" s="6"/>
      <c r="J2" s="0" t="n">
        <v>30.98413</v>
      </c>
      <c r="K2" s="6"/>
    </row>
    <row r="3" customFormat="false" ht="14.25" hidden="false" customHeight="false" outlineLevel="0" collapsed="false">
      <c r="A3" s="0" t="n">
        <v>0.8277553</v>
      </c>
      <c r="B3" s="0" t="n">
        <v>0.8277553</v>
      </c>
      <c r="D3" s="0" t="n">
        <v>1.791284</v>
      </c>
      <c r="E3" s="6"/>
      <c r="F3" s="0" t="n">
        <v>7.385067</v>
      </c>
      <c r="G3" s="6"/>
      <c r="H3" s="0" t="n">
        <v>22.22468</v>
      </c>
      <c r="I3" s="6"/>
      <c r="J3" s="0" t="n">
        <v>35.6368</v>
      </c>
      <c r="K3" s="6"/>
    </row>
    <row r="4" customFormat="false" ht="14.25" hidden="false" customHeight="false" outlineLevel="0" collapsed="false">
      <c r="A4" s="0" t="n">
        <v>2.004321</v>
      </c>
      <c r="B4" s="0" t="n">
        <v>2.004321</v>
      </c>
      <c r="D4" s="0" t="n">
        <v>1.377972</v>
      </c>
      <c r="E4" s="6"/>
      <c r="F4" s="0" t="n">
        <v>5.88329</v>
      </c>
      <c r="G4" s="6"/>
      <c r="H4" s="0" t="n">
        <v>17.70522</v>
      </c>
      <c r="I4" s="6"/>
      <c r="J4" s="0" t="n">
        <v>32.65307</v>
      </c>
      <c r="K4" s="6"/>
    </row>
    <row r="5" customFormat="false" ht="14.25" hidden="false" customHeight="false" outlineLevel="0" collapsed="false">
      <c r="A5" s="0" t="n">
        <v>8.001139</v>
      </c>
      <c r="B5" s="0" t="n">
        <v>8.001139</v>
      </c>
      <c r="D5" s="0" t="n">
        <v>0.4997286</v>
      </c>
      <c r="E5" s="6" t="n">
        <f aca="false">(LN(D5)-LN(D4))/(6*7)</f>
        <v>-0.0241500709764496</v>
      </c>
      <c r="F5" s="0" t="n">
        <v>2.497287</v>
      </c>
      <c r="G5" s="6" t="n">
        <f aca="false">(LN(F5)-LN(F4))/(6*7)</f>
        <v>-0.0204026473006354</v>
      </c>
      <c r="H5" s="0" t="n">
        <v>8.494033</v>
      </c>
      <c r="I5" s="6" t="n">
        <f aca="false">(LN(H5)-LN(H4))/(6*7)</f>
        <v>-0.0174879903422898</v>
      </c>
      <c r="J5" s="0" t="n">
        <v>14.35364</v>
      </c>
      <c r="K5" s="6" t="n">
        <f aca="false">(LN(J5)-LN(J4))/(6*7)</f>
        <v>-0.0195698883402591</v>
      </c>
    </row>
    <row r="6" customFormat="false" ht="14.25" hidden="false" customHeight="false" outlineLevel="0" collapsed="false">
      <c r="A6" s="0" t="n">
        <v>8.845731</v>
      </c>
      <c r="B6" s="0" t="n">
        <v>8.845731</v>
      </c>
      <c r="D6" s="0" t="n">
        <v>2.06027</v>
      </c>
      <c r="E6" s="7" t="n">
        <f aca="false">LN(2)/E5</f>
        <v>-28.7016622533275</v>
      </c>
      <c r="F6" s="0" t="n">
        <v>8.346781</v>
      </c>
      <c r="G6" s="7" t="n">
        <f aca="false">LN(2)/G5</f>
        <v>-33.9733942535172</v>
      </c>
      <c r="H6" s="0" t="n">
        <v>28.38995</v>
      </c>
      <c r="I6" s="7" t="n">
        <f aca="false">LN(2)/I5</f>
        <v>-39.6356108959966</v>
      </c>
      <c r="J6" s="0" t="n">
        <v>60.22084</v>
      </c>
      <c r="K6" s="7" t="n">
        <f aca="false">LN(2)/K5</f>
        <v>-35.4190667063749</v>
      </c>
    </row>
    <row r="7" customFormat="false" ht="14.25" hidden="false" customHeight="false" outlineLevel="0" collapsed="false">
      <c r="A7" s="0" t="n">
        <v>9.979809</v>
      </c>
      <c r="B7" s="0" t="n">
        <v>9.979809</v>
      </c>
      <c r="D7" s="0" t="n">
        <v>2.133605</v>
      </c>
      <c r="E7" s="6"/>
      <c r="F7" s="0" t="n">
        <v>8.202081</v>
      </c>
      <c r="G7" s="6"/>
      <c r="H7" s="0" t="n">
        <v>21.83939</v>
      </c>
      <c r="I7" s="6"/>
      <c r="J7" s="0" t="n">
        <v>54.22221</v>
      </c>
      <c r="K7" s="6"/>
    </row>
    <row r="8" customFormat="false" ht="14.25" hidden="false" customHeight="false" outlineLevel="0" collapsed="false">
      <c r="A8" s="0" t="n">
        <v>16.01595</v>
      </c>
      <c r="B8" s="0" t="n">
        <v>16.01595</v>
      </c>
      <c r="D8" s="0" t="n">
        <v>0.7603484</v>
      </c>
      <c r="E8" s="6" t="n">
        <f aca="false">(LN(D8)-LN(D7))/(6*7)</f>
        <v>-0.024566465881713</v>
      </c>
      <c r="F8" s="0" t="n">
        <v>2.773563</v>
      </c>
      <c r="G8" s="6" t="n">
        <f aca="false">(LN(F8)-LN(F7))/(6*7)</f>
        <v>-0.0258155982696417</v>
      </c>
      <c r="H8" s="0" t="n">
        <v>11.23655</v>
      </c>
      <c r="I8" s="6" t="n">
        <f aca="false">(LN(H8)-LN(H7))/(6*7)</f>
        <v>-0.0158224610056076</v>
      </c>
      <c r="J8" s="0" t="n">
        <v>20.72315</v>
      </c>
      <c r="K8" s="6" t="n">
        <f aca="false">(LN(J8)-LN(J7))/(6*7)</f>
        <v>-0.0229009326248499</v>
      </c>
    </row>
    <row r="9" customFormat="false" ht="14.25" hidden="false" customHeight="false" outlineLevel="0" collapsed="false">
      <c r="E9" s="7" t="n">
        <f aca="false">LN(2)/E8</f>
        <v>-28.215176895913</v>
      </c>
      <c r="G9" s="7" t="n">
        <f aca="false">LN(2)/G8</f>
        <v>-26.8499367444474</v>
      </c>
      <c r="I9" s="7" t="n">
        <f aca="false">LN(2)/I8</f>
        <v>-43.8077983136941</v>
      </c>
      <c r="K9" s="7" t="n">
        <f aca="false">LN(2)/K8</f>
        <v>-30.2672031709228</v>
      </c>
    </row>
  </sheetData>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2025-11-26T08:29:09Z</dcterms:created>
  <dc:creator>Christoph Niederalt</dc:creator>
  <dc:description/>
  <dc:language>en-US</dc:language>
  <cp:lastModifiedBy/>
  <dcterms:modified xsi:type="dcterms:W3CDTF">2026-08-07T08:36:14Z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850223-87a8-40c3-9eb2-432606efca2a_ActionId">
    <vt:lpwstr>41355fcc-faee-4072-9d2f-2eae42d6f395</vt:lpwstr>
  </property>
  <property fmtid="{D5CDD505-2E9C-101B-9397-08002B2CF9AE}" pid="3" name="MSIP_Label_7f850223-87a8-40c3-9eb2-432606efca2a_ContentBits">
    <vt:lpwstr>0</vt:lpwstr>
  </property>
  <property fmtid="{D5CDD505-2E9C-101B-9397-08002B2CF9AE}" pid="4" name="MSIP_Label_7f850223-87a8-40c3-9eb2-432606efca2a_Enabled">
    <vt:lpwstr>true</vt:lpwstr>
  </property>
  <property fmtid="{D5CDD505-2E9C-101B-9397-08002B2CF9AE}" pid="5" name="MSIP_Label_7f850223-87a8-40c3-9eb2-432606efca2a_Method">
    <vt:lpwstr>Standard</vt:lpwstr>
  </property>
  <property fmtid="{D5CDD505-2E9C-101B-9397-08002B2CF9AE}" pid="6" name="MSIP_Label_7f850223-87a8-40c3-9eb2-432606efca2a_Name">
    <vt:lpwstr>7f850223-87a8-40c3-9eb2-432606efca2a</vt:lpwstr>
  </property>
  <property fmtid="{D5CDD505-2E9C-101B-9397-08002B2CF9AE}" pid="7" name="MSIP_Label_7f850223-87a8-40c3-9eb2-432606efca2a_SetDate">
    <vt:lpwstr>2025-11-26T09:07:58Z</vt:lpwstr>
  </property>
  <property fmtid="{D5CDD505-2E9C-101B-9397-08002B2CF9AE}" pid="8" name="MSIP_Label_7f850223-87a8-40c3-9eb2-432606efca2a_SiteId">
    <vt:lpwstr>fcb2b37b-5da0-466b-9b83-0014b67a7c78</vt:lpwstr>
  </property>
  <property fmtid="{D5CDD505-2E9C-101B-9397-08002B2CF9AE}" pid="9" name="MSIP_Label_7f850223-87a8-40c3-9eb2-432606efca2a_Tag">
    <vt:lpwstr>10, 3, 0, 1</vt:lpwstr>
  </property>
</Properties>
</file>