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<sst xmlns="http://schemas.openxmlformats.org/spreadsheetml/2006/main" count="8" uniqueCount="8">
  <si>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time [h]</t>
  </si>
  <si>
    <t xml:space="preserve">time_scanned [[h-d]]</t>
  </si>
  <si>
    <t xml:space="preserve">3mgkg (conc.) [ug/ml]</t>
  </si>
  <si>
    <t xml:space="preserve">Error(Arithm) 3mgkg [ug/ml]</t>
  </si>
  <si>
    <t xml:space="preserve">10mgkg (conc.) [ug/ml]</t>
  </si>
  <si>
    <t xml:space="preserve">Error(Arithm) 10mgkg [ug/ml]</t>
  </si>
  <si>
    <t xml:space="preserve">Weisman2009_pagibaximab_adults.pdf</t>
  </si>
  <si>
    <t xml:space="preserve">Weisman2009; doi:10.1016/j.intimp.2009.02.008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</si>
</sst>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Weisman2009_pagibaximab_adults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4" min="4" style="0" width="19.45"/>
    <col collapsed="false" customWidth="true" hidden="false" outlineLevel="0" max="5" min="5" style="0" width="25.36"/>
    <col collapsed="false" customWidth="true" hidden="false" outlineLevel="0" max="6" min="6" style="0" width="20.54"/>
    <col collapsed="false" customWidth="true" hidden="false" outlineLevel="0" max="7" min="7" style="0" width="26.27"/>
  </cols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2</v>
      </c>
      <c r="E1" s="1" t="s">
        <v>3</v>
      </c>
      <c r="F1" s="2" t="s">
        <v>4</v>
      </c>
      <c r="G1" s="2" t="s">
        <v>5</v>
      </c>
      <c r="I1" s="3" t="s">
        <v>6</v>
      </c>
    </row>
    <row r="2" customFormat="false" ht="14.25" hidden="false" customHeight="false" outlineLevel="0" collapsed="false">
      <c r="A2" s="0" t="n">
        <v>-1</v>
      </c>
      <c r="B2" s="0" t="n">
        <v>-1.011093</v>
      </c>
      <c r="D2" s="0" t="n">
        <v>18.52486</v>
      </c>
      <c r="E2" s="4" t="n">
        <v>3.498778</v>
      </c>
      <c r="F2" s="0" t="n">
        <v>48.58337</v>
      </c>
      <c r="G2" s="4" t="n">
        <v>23.40902</v>
      </c>
      <c r="I2" s="0" t="s">
        <v>7</v>
      </c>
    </row>
    <row r="3" customFormat="false" ht="14.25" hidden="false" customHeight="false" outlineLevel="0" collapsed="false">
      <c r="A3" s="0" t="n">
        <v>1</v>
      </c>
      <c r="B3" s="0" t="n">
        <v>0.9999999</v>
      </c>
      <c r="D3" s="0" t="n">
        <v>87.08256</v>
      </c>
      <c r="E3" s="4" t="n">
        <v>27.94177</v>
      </c>
      <c r="F3" s="0" t="n">
        <v>257.6354</v>
      </c>
      <c r="G3" s="4" t="n">
        <v>31.16138</v>
      </c>
    </row>
    <row r="4" customFormat="false" ht="14.25" hidden="false" customHeight="false" outlineLevel="0" collapsed="false">
      <c r="A4" s="0" t="n">
        <f aca="false">3*24</f>
        <v>72</v>
      </c>
      <c r="B4" s="0" t="n">
        <v>3.011093</v>
      </c>
      <c r="D4" s="0" t="n">
        <v>59.51712</v>
      </c>
      <c r="E4" s="4" t="n">
        <v>23.68634</v>
      </c>
      <c r="F4" s="0" t="n">
        <v>152.1792</v>
      </c>
      <c r="G4" s="4" t="n">
        <v>23.90335</v>
      </c>
    </row>
    <row r="5" customFormat="false" ht="14.25" hidden="false" customHeight="false" outlineLevel="0" collapsed="false">
      <c r="A5" s="0" t="n">
        <f aca="false">7*24</f>
        <v>168</v>
      </c>
      <c r="B5" s="0" t="n">
        <v>6.990491</v>
      </c>
      <c r="D5" s="0" t="n">
        <v>47.36618</v>
      </c>
      <c r="E5" s="4" t="n">
        <v>18.30273</v>
      </c>
      <c r="F5" s="0" t="n">
        <v>149.3107</v>
      </c>
      <c r="G5" s="4" t="n">
        <v>39.49684</v>
      </c>
    </row>
    <row r="6" customFormat="false" ht="14.25" hidden="false" customHeight="false" outlineLevel="0" collapsed="false">
      <c r="A6" s="0" t="n">
        <f aca="false">14*24</f>
        <v>336</v>
      </c>
      <c r="B6" s="0" t="n">
        <v>14.00792</v>
      </c>
      <c r="D6" s="0" t="n">
        <v>43.34119</v>
      </c>
      <c r="E6" s="4" t="n">
        <v>19.31403</v>
      </c>
      <c r="F6" s="0" t="n">
        <v>136.6229</v>
      </c>
      <c r="G6" s="4" t="n">
        <v>31.81219</v>
      </c>
    </row>
    <row r="7" customFormat="false" ht="14.25" hidden="false" customHeight="false" outlineLevel="0" collapsed="false">
      <c r="A7" s="0" t="n">
        <f aca="false">28*24</f>
        <v>672</v>
      </c>
      <c r="B7" s="0" t="n">
        <v>28.04279</v>
      </c>
      <c r="D7" s="0" t="n">
        <v>33.4159</v>
      </c>
      <c r="E7" s="4" t="n">
        <v>17.60763</v>
      </c>
      <c r="F7" s="0" t="n">
        <v>99.49068</v>
      </c>
      <c r="G7" s="4" t="n">
        <v>27.11863</v>
      </c>
    </row>
  </sheetData>
  <hyperlinks>
    <hyperlink ref="I1" r:id="rId1" display="Weisman2009_pagibaximab_adults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2026-03-03T13:34:31Z</dcterms:created>
  <dc:creator>Dr. Christoph Niederalt</dc:creator>
  <dc:description/>
  <dc:language>en-US</dc:language>
  <cp:lastModifiedBy/>
  <dcterms:modified xsi:type="dcterms:W3CDTF">2026-08-07T08:35:34Z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5ad02212-ed37-477e-87ea-8bbe6e96cb64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2026-03-03T13:50:56Z</vt:lpwstr>
  </property>
  <property fmtid="{D5CDD505-2E9C-101B-9397-08002B2CF9AE}" pid="8" name="MSIP_Label_7f850223-87a8-40c3-9eb2-432606efca2a_SiteId">
    <vt:lpwstr>fcb2b37b-5da0-466b-9b83-0014b67a7c78</vt:lpwstr>
  </property>
  <property fmtid="{D5CDD505-2E9C-101B-9397-08002B2CF9AE}" pid="9" name="MSIP_Label_7f850223-87a8-40c3-9eb2-432606efca2a_Tag">
    <vt:lpwstr>10, 3, 0, 1</vt:lpwstr>
  </property>
</Properties>
</file>