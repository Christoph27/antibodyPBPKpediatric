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<sst xmlns="http://schemas.openxmlformats.org/spreadsheetml/2006/main" count="12" uniqueCount="12">
  <si>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time [days]</t>
  </si>
  <si>
    <t xml:space="preserve">time_scanned [days]</t>
  </si>
  <si>
    <t xml:space="preserve">90mgkg (conc) [µg/ml]</t>
  </si>
  <si>
    <t xml:space="preserve">Error(Arithm) 90mgkg [µg/ml]</t>
  </si>
  <si>
    <t xml:space="preserve">60mgkg (conc) [µg/ml]</t>
  </si>
  <si>
    <t xml:space="preserve">Error(Arithm) 60mgkg [µg/ml]</t>
  </si>
  <si>
    <t xml:space="preserve">30mgkg (conc) [µg/ml]</t>
  </si>
  <si>
    <t xml:space="preserve">Error(Arithm) 30mgkg [µg/ml]</t>
  </si>
  <si>
    <t xml:space="preserve">10mgkg (conc) [µg/ml]</t>
  </si>
  <si>
    <t xml:space="preserve">Error(Arithm) 10mgkg [µg/ml]</t>
  </si>
  <si>
    <t xml:space="preserve">Weisman2009_pagibaximab.pdf</t>
  </si>
  <si>
    <t xml:space="preserve">doi:10.1128/AAC.01565-08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</si>
</sst>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1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eisman2009_pagibaxi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4" min="4" style="1" width="20.91"/>
    <col collapsed="false" customWidth="true" hidden="false" outlineLevel="0" max="5" min="5" style="1" width="27.03"/>
    <col collapsed="false" customWidth="true" hidden="false" outlineLevel="0" max="6" min="6" style="1" width="20.91"/>
    <col collapsed="false" customWidth="true" hidden="false" outlineLevel="0" max="7" min="7" style="1" width="27.03"/>
    <col collapsed="false" customWidth="true" hidden="false" outlineLevel="0" max="8" min="8" style="1" width="20.91"/>
    <col collapsed="false" customWidth="true" hidden="false" outlineLevel="0" max="9" min="9" style="1" width="27.03"/>
    <col collapsed="false" customWidth="true" hidden="false" outlineLevel="0" max="10" min="10" style="1" width="20.91"/>
    <col collapsed="false" customWidth="true" hidden="false" outlineLevel="0" max="11" min="11" style="1" width="27.03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5" t="s">
        <v>9</v>
      </c>
      <c r="M1" s="6" t="s">
        <v>10</v>
      </c>
    </row>
    <row r="2" customFormat="false" ht="14.25" hidden="false" customHeight="false" outlineLevel="0" collapsed="false">
      <c r="A2" s="7" t="n">
        <f aca="false">-1/24</f>
        <v>-0.0416666666666667</v>
      </c>
      <c r="B2" s="1" t="n">
        <v>-0.04546126</v>
      </c>
      <c r="D2" s="1" t="n">
        <v>6.92536</v>
      </c>
      <c r="E2" s="8" t="n">
        <v>2.752559</v>
      </c>
      <c r="F2" s="1" t="n">
        <v>9.538122</v>
      </c>
      <c r="G2" s="8" t="n">
        <v>2.500277</v>
      </c>
      <c r="H2" s="1" t="n">
        <v>3.494974</v>
      </c>
      <c r="I2" s="8" t="n">
        <v>2.176525</v>
      </c>
      <c r="J2" s="1" t="n">
        <v>5.48702</v>
      </c>
      <c r="K2" s="8" t="n">
        <v>3.917046</v>
      </c>
      <c r="M2" s="1" t="s">
        <v>11</v>
      </c>
    </row>
    <row r="3" customFormat="false" ht="14.25" hidden="false" customHeight="false" outlineLevel="0" collapsed="false">
      <c r="A3" s="7" t="n">
        <f aca="false">1/24</f>
        <v>0.0416666666666667</v>
      </c>
      <c r="B3" s="1" t="n">
        <v>0.0431882</v>
      </c>
      <c r="D3" s="1" t="n">
        <v>1003.644</v>
      </c>
      <c r="E3" s="8" t="n">
        <v>174.2062</v>
      </c>
      <c r="F3" s="1" t="n">
        <v>718.1913</v>
      </c>
      <c r="G3" s="8" t="n">
        <v>286.6016</v>
      </c>
      <c r="H3" s="1" t="n">
        <v>384.1653</v>
      </c>
      <c r="I3" s="8" t="n">
        <v>42.21323</v>
      </c>
      <c r="J3" s="1" t="n">
        <v>123.4887</v>
      </c>
      <c r="K3" s="8" t="n">
        <v>41.71108</v>
      </c>
    </row>
    <row r="4" customFormat="false" ht="14.25" hidden="false" customHeight="false" outlineLevel="0" collapsed="false">
      <c r="A4" s="7" t="n">
        <v>2.050848</v>
      </c>
      <c r="B4" s="1" t="n">
        <v>2.050848</v>
      </c>
      <c r="D4" s="1" t="n">
        <v>341.9521</v>
      </c>
      <c r="E4" s="8" t="n">
        <v>42.21326</v>
      </c>
      <c r="F4" s="1" t="n">
        <v>217.8074</v>
      </c>
      <c r="G4" s="8" t="n">
        <v>61.12415</v>
      </c>
      <c r="H4" s="1" t="n">
        <v>123.4887</v>
      </c>
      <c r="I4" s="8" t="n">
        <v>28.4538</v>
      </c>
      <c r="J4" s="1" t="n">
        <v>34.82284</v>
      </c>
      <c r="K4" s="8" t="n">
        <v>10.42608</v>
      </c>
    </row>
    <row r="5" customFormat="false" ht="14.25" hidden="false" customHeight="false" outlineLevel="0" collapsed="false">
      <c r="A5" s="7" t="n">
        <v>7</v>
      </c>
      <c r="B5" s="1" t="n">
        <v>6.999034</v>
      </c>
      <c r="D5" s="1" t="n">
        <v>270.9314</v>
      </c>
      <c r="E5" s="8" t="n">
        <v>42.43365</v>
      </c>
      <c r="F5" s="1" t="n">
        <v>202.5243</v>
      </c>
      <c r="G5" s="8" t="n">
        <v>35.1528</v>
      </c>
      <c r="H5" s="1" t="n">
        <v>89.66163</v>
      </c>
      <c r="I5" s="8" t="n">
        <v>12.14132</v>
      </c>
      <c r="J5" s="1" t="n">
        <v>30.10738</v>
      </c>
      <c r="K5" s="8" t="n">
        <v>7.892204</v>
      </c>
    </row>
    <row r="6" customFormat="false" ht="14.25" hidden="false" customHeight="false" outlineLevel="0" collapsed="false">
      <c r="A6" s="7" t="n">
        <v>14</v>
      </c>
      <c r="B6" s="1" t="n">
        <v>13.96152</v>
      </c>
      <c r="D6" s="1" t="n">
        <v>211.5604</v>
      </c>
      <c r="E6" s="8" t="n">
        <v>59.37103</v>
      </c>
      <c r="F6" s="1" t="n">
        <v>125.2986</v>
      </c>
      <c r="G6" s="8" t="n">
        <v>41.92836</v>
      </c>
      <c r="H6" s="1" t="n">
        <v>64.16039</v>
      </c>
      <c r="I6" s="8" t="n">
        <v>29.33755</v>
      </c>
      <c r="J6" s="1" t="n">
        <v>26.41198</v>
      </c>
      <c r="K6" s="8" t="n">
        <v>10.0713</v>
      </c>
    </row>
    <row r="7" customFormat="false" ht="14.25" hidden="false" customHeight="false" outlineLevel="0" collapsed="false">
      <c r="A7" s="7" t="n">
        <f aca="false">14+1/24</f>
        <v>14.0416666666667</v>
      </c>
      <c r="B7" s="1" t="n">
        <v>14.02989</v>
      </c>
      <c r="D7" s="1" t="n">
        <v>1195.114</v>
      </c>
      <c r="E7" s="8" t="n">
        <v>187.1797</v>
      </c>
      <c r="F7" s="1" t="n">
        <v>718.1913</v>
      </c>
      <c r="G7" s="8" t="n">
        <v>285.4529</v>
      </c>
      <c r="H7" s="1" t="n">
        <v>437.9154</v>
      </c>
      <c r="I7" s="8" t="n">
        <v>76.01044</v>
      </c>
      <c r="J7" s="1" t="n">
        <v>116.5066</v>
      </c>
      <c r="K7" s="8" t="n">
        <v>56.064</v>
      </c>
    </row>
    <row r="8" customFormat="false" ht="14.25" hidden="false" customHeight="false" outlineLevel="0" collapsed="false">
      <c r="A8" s="7" t="n">
        <v>28</v>
      </c>
      <c r="B8" s="1" t="n">
        <v>28.00832</v>
      </c>
      <c r="D8" s="1" t="n">
        <v>378.6161</v>
      </c>
      <c r="E8" s="8" t="n">
        <v>99.24857</v>
      </c>
      <c r="F8" s="1" t="n">
        <v>208.5044</v>
      </c>
      <c r="G8" s="8" t="n">
        <v>74.51535</v>
      </c>
      <c r="H8" s="1" t="n">
        <v>111.5304</v>
      </c>
      <c r="I8" s="8" t="n">
        <v>23.16393</v>
      </c>
      <c r="J8" s="1" t="n">
        <v>35.85109</v>
      </c>
      <c r="K8" s="8" t="n">
        <v>9.051998</v>
      </c>
    </row>
    <row r="9" customFormat="false" ht="14.25" hidden="false" customHeight="false" outlineLevel="0" collapsed="false">
      <c r="A9" s="7" t="n">
        <v>42</v>
      </c>
      <c r="B9" s="1" t="n">
        <v>41.99047</v>
      </c>
      <c r="D9" s="1" t="n">
        <v>217.8074</v>
      </c>
      <c r="E9" s="8" t="n">
        <v>81.07829</v>
      </c>
      <c r="F9" s="1" t="n">
        <v>113.1651</v>
      </c>
      <c r="G9" s="8" t="n">
        <v>59.4055</v>
      </c>
      <c r="H9" s="1" t="n">
        <v>61.41998</v>
      </c>
      <c r="I9" s="8" t="n">
        <v>22.29834</v>
      </c>
      <c r="J9" s="1" t="n">
        <v>21.54435</v>
      </c>
      <c r="K9" s="8" t="n">
        <v>4.964169</v>
      </c>
    </row>
    <row r="10" customFormat="false" ht="14.25" hidden="false" customHeight="false" outlineLevel="0" collapsed="false">
      <c r="A10" s="7" t="n">
        <v>56</v>
      </c>
      <c r="B10" s="1" t="n">
        <v>56.03128</v>
      </c>
      <c r="D10" s="1" t="n">
        <v>149.2023</v>
      </c>
      <c r="E10" s="8" t="n">
        <v>36.39105</v>
      </c>
      <c r="F10" s="1" t="n">
        <v>76.40053</v>
      </c>
      <c r="G10" s="8" t="n">
        <v>41.81372</v>
      </c>
      <c r="H10" s="1" t="n">
        <v>34.31982</v>
      </c>
      <c r="I10" s="8" t="n">
        <v>19.56142</v>
      </c>
      <c r="J10" s="1" t="n">
        <v>15.41678</v>
      </c>
      <c r="K10" s="8" t="n">
        <v>2.656941</v>
      </c>
    </row>
  </sheetData>
  <hyperlinks>
    <hyperlink ref="M1" r:id="rId1" display="Weisman2009_pagibaxi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2026-08-12T11:16:42Z</dcterms:created>
  <dc:creator>Dr. Christoph Niederalt</dc:creator>
  <dc:description/>
  <dc:language>en-US</dc:language>
  <cp:lastModifiedBy/>
  <dcterms:modified xsi:type="dcterms:W3CDTF">2026-08-12T12:22:15Z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8cacb377-8b9a-44e3-85cd-cd237a03fd96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2026-08-12T12:06:19Z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