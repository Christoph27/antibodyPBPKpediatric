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ispharm-my.sharepoint.com/personal/pmalik_ionisph_com/Documents/Documents/MEDI8897/"/>
    </mc:Choice>
  </mc:AlternateContent>
  <xr:revisionPtr revIDLastSave="96" documentId="11_A5F8720D88CE861497BC3C6DA8AD0B947FE2C632" xr6:coauthVersionLast="47" xr6:coauthVersionMax="47" xr10:uidLastSave="{ECF2C4EB-CDB5-4CAA-B465-22944CD1EBEF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" l="1"/>
  <c r="H87" i="1"/>
  <c r="H88" i="1"/>
  <c r="H85" i="1"/>
  <c r="H94" i="1"/>
  <c r="H95" i="1"/>
  <c r="H96" i="1"/>
  <c r="H90" i="1"/>
  <c r="H91" i="1"/>
  <c r="H92" i="1"/>
  <c r="H89" i="1"/>
  <c r="H93" i="1"/>
</calcChain>
</file>

<file path=xl/sharedStrings.xml><?xml version="1.0" encoding="utf-8"?>
<sst xmlns="http://schemas.openxmlformats.org/spreadsheetml/2006/main" count="412" uniqueCount="33">
  <si>
    <t>Study Id</t>
  </si>
  <si>
    <t>Dose</t>
  </si>
  <si>
    <t>Inf Time</t>
  </si>
  <si>
    <t>Time</t>
  </si>
  <si>
    <t xml:space="preserve">N </t>
  </si>
  <si>
    <t>Age</t>
  </si>
  <si>
    <t>Weight</t>
  </si>
  <si>
    <t>% Male</t>
  </si>
  <si>
    <t>Route</t>
  </si>
  <si>
    <t>IV</t>
  </si>
  <si>
    <t>IM</t>
  </si>
  <si>
    <t>Griffin300IV</t>
  </si>
  <si>
    <t>Griffin300IM</t>
  </si>
  <si>
    <t>Griffin100IM</t>
  </si>
  <si>
    <t>Griffin3000IV</t>
  </si>
  <si>
    <t>Griffin1000IV</t>
  </si>
  <si>
    <t>85.2 </t>
  </si>
  <si>
    <t>75.3 </t>
  </si>
  <si>
    <t>82.2 </t>
  </si>
  <si>
    <t>71.9 </t>
  </si>
  <si>
    <t>77.8 </t>
  </si>
  <si>
    <t>34.5 </t>
  </si>
  <si>
    <t>34.3 </t>
  </si>
  <si>
    <t>33.5 </t>
  </si>
  <si>
    <t>30.7 </t>
  </si>
  <si>
    <t>30.3 </t>
  </si>
  <si>
    <t>Concentration [ug/mL]</t>
  </si>
  <si>
    <t>3 mL</t>
  </si>
  <si>
    <t>1 mL</t>
  </si>
  <si>
    <t>Domachowske50IM</t>
  </si>
  <si>
    <t>Domachowske25IM</t>
  </si>
  <si>
    <t>Domachowske10IM</t>
  </si>
  <si>
    <t>Gestational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</si>
</sst>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topLeftCell="A70" workbookViewId="0">
      <selection activeCell="H84" sqref="H8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26</v>
      </c>
      <c r="G1" t="s">
        <v>4</v>
      </c>
      <c r="H1" t="s">
        <v>5</v>
      </c>
      <c r="I1" t="s">
        <v>6</v>
      </c>
      <c r="J1" t="s">
        <v>7</v>
      </c>
      <c r="K1" t="s">
        <v>32</v>
      </c>
    </row>
    <row r="2" spans="1:11" x14ac:dyDescent="0.25">
      <c r="A2" t="s">
        <v>14</v>
      </c>
      <c r="B2">
        <v>3000</v>
      </c>
      <c r="C2" t="s">
        <v>9</v>
      </c>
      <c r="D2">
        <v>2</v>
      </c>
      <c r="E2">
        <v>2</v>
      </c>
      <c r="F2">
        <v>1156.2402</v>
      </c>
      <c r="G2">
        <v>6</v>
      </c>
      <c r="H2" t="s">
        <v>23</v>
      </c>
      <c r="I2" t="s">
        <v>18</v>
      </c>
      <c r="J2">
        <v>0.5</v>
      </c>
      <c r="K2">
        <v>40</v>
      </c>
    </row>
    <row r="3" spans="1:11" x14ac:dyDescent="0.25">
      <c r="A3" t="s">
        <v>14</v>
      </c>
      <c r="B3">
        <v>3000</v>
      </c>
      <c r="C3" t="s">
        <v>9</v>
      </c>
      <c r="D3">
        <v>2</v>
      </c>
      <c r="E3">
        <v>8</v>
      </c>
      <c r="F3">
        <v>864.52892999999995</v>
      </c>
      <c r="G3">
        <v>6</v>
      </c>
      <c r="H3" t="s">
        <v>23</v>
      </c>
      <c r="I3" t="s">
        <v>18</v>
      </c>
      <c r="J3">
        <v>0.5</v>
      </c>
      <c r="K3">
        <v>40</v>
      </c>
    </row>
    <row r="4" spans="1:11" x14ac:dyDescent="0.25">
      <c r="A4" t="s">
        <v>14</v>
      </c>
      <c r="B4">
        <v>3000</v>
      </c>
      <c r="C4" t="s">
        <v>9</v>
      </c>
      <c r="D4">
        <v>2</v>
      </c>
      <c r="E4">
        <v>24</v>
      </c>
      <c r="F4">
        <v>843.33249999999998</v>
      </c>
      <c r="G4">
        <v>6</v>
      </c>
      <c r="H4" t="s">
        <v>23</v>
      </c>
      <c r="I4" t="s">
        <v>18</v>
      </c>
      <c r="J4">
        <v>0.5</v>
      </c>
      <c r="K4">
        <v>40</v>
      </c>
    </row>
    <row r="5" spans="1:11" x14ac:dyDescent="0.25">
      <c r="A5" t="s">
        <v>14</v>
      </c>
      <c r="B5">
        <v>3000</v>
      </c>
      <c r="C5" t="s">
        <v>9</v>
      </c>
      <c r="D5">
        <v>2</v>
      </c>
      <c r="E5">
        <v>72</v>
      </c>
      <c r="F5">
        <v>764.07629999999995</v>
      </c>
      <c r="G5">
        <v>6</v>
      </c>
      <c r="H5" t="s">
        <v>23</v>
      </c>
      <c r="I5" t="s">
        <v>18</v>
      </c>
      <c r="J5">
        <v>0.5</v>
      </c>
      <c r="K5">
        <v>40</v>
      </c>
    </row>
    <row r="6" spans="1:11" x14ac:dyDescent="0.25">
      <c r="A6" t="s">
        <v>14</v>
      </c>
      <c r="B6">
        <v>3000</v>
      </c>
      <c r="C6" t="s">
        <v>9</v>
      </c>
      <c r="D6">
        <v>2</v>
      </c>
      <c r="E6">
        <v>120</v>
      </c>
      <c r="F6">
        <v>584.38969999999995</v>
      </c>
      <c r="G6">
        <v>6</v>
      </c>
      <c r="H6" t="s">
        <v>23</v>
      </c>
      <c r="I6" t="s">
        <v>18</v>
      </c>
      <c r="J6">
        <v>0.5</v>
      </c>
      <c r="K6">
        <v>40</v>
      </c>
    </row>
    <row r="7" spans="1:11" x14ac:dyDescent="0.25">
      <c r="A7" t="s">
        <v>14</v>
      </c>
      <c r="B7">
        <v>3000</v>
      </c>
      <c r="C7" t="s">
        <v>9</v>
      </c>
      <c r="D7">
        <v>2</v>
      </c>
      <c r="E7">
        <v>168</v>
      </c>
      <c r="F7">
        <v>548</v>
      </c>
      <c r="G7">
        <v>6</v>
      </c>
      <c r="H7" t="s">
        <v>23</v>
      </c>
      <c r="I7" t="s">
        <v>18</v>
      </c>
      <c r="J7">
        <v>0.5</v>
      </c>
      <c r="K7">
        <v>40</v>
      </c>
    </row>
    <row r="8" spans="1:11" x14ac:dyDescent="0.25">
      <c r="A8" t="s">
        <v>14</v>
      </c>
      <c r="B8">
        <v>3000</v>
      </c>
      <c r="C8" t="s">
        <v>9</v>
      </c>
      <c r="D8">
        <v>2</v>
      </c>
      <c r="E8">
        <v>336</v>
      </c>
      <c r="F8">
        <v>484</v>
      </c>
      <c r="G8">
        <v>6</v>
      </c>
      <c r="H8" t="s">
        <v>23</v>
      </c>
      <c r="I8" t="s">
        <v>18</v>
      </c>
      <c r="J8">
        <v>0.5</v>
      </c>
      <c r="K8">
        <v>40</v>
      </c>
    </row>
    <row r="9" spans="1:11" x14ac:dyDescent="0.25">
      <c r="A9" t="s">
        <v>14</v>
      </c>
      <c r="B9">
        <v>3000</v>
      </c>
      <c r="C9" t="s">
        <v>9</v>
      </c>
      <c r="D9">
        <v>2</v>
      </c>
      <c r="E9">
        <v>497.05020000000002</v>
      </c>
      <c r="F9">
        <v>438.96539999999999</v>
      </c>
      <c r="G9">
        <v>6</v>
      </c>
      <c r="H9" t="s">
        <v>23</v>
      </c>
      <c r="I9" t="s">
        <v>18</v>
      </c>
      <c r="J9">
        <v>0.5</v>
      </c>
      <c r="K9">
        <v>40</v>
      </c>
    </row>
    <row r="10" spans="1:11" x14ac:dyDescent="0.25">
      <c r="A10" t="s">
        <v>14</v>
      </c>
      <c r="B10">
        <v>3000</v>
      </c>
      <c r="C10" t="s">
        <v>9</v>
      </c>
      <c r="D10">
        <v>2</v>
      </c>
      <c r="E10">
        <v>717.2201</v>
      </c>
      <c r="F10">
        <v>441.99599999999998</v>
      </c>
      <c r="G10">
        <v>6</v>
      </c>
      <c r="H10" t="s">
        <v>23</v>
      </c>
      <c r="I10" t="s">
        <v>18</v>
      </c>
      <c r="J10">
        <v>0.5</v>
      </c>
      <c r="K10">
        <v>40</v>
      </c>
    </row>
    <row r="11" spans="1:11" x14ac:dyDescent="0.25">
      <c r="A11" t="s">
        <v>14</v>
      </c>
      <c r="B11">
        <v>3000</v>
      </c>
      <c r="C11" t="s">
        <v>9</v>
      </c>
      <c r="D11">
        <v>2</v>
      </c>
      <c r="E11">
        <v>1431.1042</v>
      </c>
      <c r="F11">
        <v>280.67721999999998</v>
      </c>
      <c r="G11">
        <v>6</v>
      </c>
      <c r="H11" t="s">
        <v>23</v>
      </c>
      <c r="I11" t="s">
        <v>18</v>
      </c>
      <c r="J11">
        <v>0.5</v>
      </c>
      <c r="K11">
        <v>40</v>
      </c>
    </row>
    <row r="12" spans="1:11" x14ac:dyDescent="0.25">
      <c r="A12" t="s">
        <v>14</v>
      </c>
      <c r="B12">
        <v>3000</v>
      </c>
      <c r="C12" t="s">
        <v>9</v>
      </c>
      <c r="D12">
        <v>2</v>
      </c>
      <c r="E12">
        <v>2154.9960000000001</v>
      </c>
      <c r="F12">
        <v>300.66829999999999</v>
      </c>
      <c r="G12">
        <v>6</v>
      </c>
      <c r="H12" t="s">
        <v>23</v>
      </c>
      <c r="I12" t="s">
        <v>18</v>
      </c>
      <c r="J12">
        <v>0.5</v>
      </c>
      <c r="K12">
        <v>40</v>
      </c>
    </row>
    <row r="13" spans="1:11" x14ac:dyDescent="0.25">
      <c r="A13" t="s">
        <v>14</v>
      </c>
      <c r="B13">
        <v>3000</v>
      </c>
      <c r="C13" t="s">
        <v>9</v>
      </c>
      <c r="D13">
        <v>2</v>
      </c>
      <c r="E13">
        <v>2882.2239</v>
      </c>
      <c r="F13">
        <v>175.80043000000001</v>
      </c>
      <c r="G13">
        <v>6</v>
      </c>
      <c r="H13" t="s">
        <v>23</v>
      </c>
      <c r="I13" t="s">
        <v>18</v>
      </c>
      <c r="J13">
        <v>0.5</v>
      </c>
      <c r="K13">
        <v>40</v>
      </c>
    </row>
    <row r="14" spans="1:11" x14ac:dyDescent="0.25">
      <c r="A14" t="s">
        <v>14</v>
      </c>
      <c r="B14">
        <v>3000</v>
      </c>
      <c r="C14" t="s">
        <v>9</v>
      </c>
      <c r="D14">
        <v>2</v>
      </c>
      <c r="E14">
        <v>3599.444</v>
      </c>
      <c r="F14">
        <v>140.09233</v>
      </c>
      <c r="G14">
        <v>6</v>
      </c>
      <c r="H14" t="s">
        <v>23</v>
      </c>
      <c r="I14" t="s">
        <v>18</v>
      </c>
      <c r="J14">
        <v>0.5</v>
      </c>
      <c r="K14">
        <v>40</v>
      </c>
    </row>
    <row r="15" spans="1:11" x14ac:dyDescent="0.25">
      <c r="A15" t="s">
        <v>14</v>
      </c>
      <c r="B15">
        <v>3000</v>
      </c>
      <c r="C15" t="s">
        <v>9</v>
      </c>
      <c r="D15">
        <v>2</v>
      </c>
      <c r="E15">
        <v>4316.6639999999998</v>
      </c>
      <c r="F15">
        <v>112.4079</v>
      </c>
      <c r="G15">
        <v>6</v>
      </c>
      <c r="H15" t="s">
        <v>23</v>
      </c>
      <c r="I15" t="s">
        <v>18</v>
      </c>
      <c r="J15">
        <v>0.5</v>
      </c>
      <c r="K15">
        <v>40</v>
      </c>
    </row>
    <row r="16" spans="1:11" x14ac:dyDescent="0.25">
      <c r="A16" t="s">
        <v>14</v>
      </c>
      <c r="B16">
        <v>3000</v>
      </c>
      <c r="C16" t="s">
        <v>9</v>
      </c>
      <c r="D16">
        <v>2</v>
      </c>
      <c r="E16">
        <v>6474.9960000000001</v>
      </c>
      <c r="F16">
        <v>51.659170000000003</v>
      </c>
      <c r="G16">
        <v>6</v>
      </c>
      <c r="H16" t="s">
        <v>23</v>
      </c>
      <c r="I16" t="s">
        <v>18</v>
      </c>
      <c r="J16">
        <v>0.5</v>
      </c>
      <c r="K16">
        <v>40</v>
      </c>
    </row>
    <row r="17" spans="1:11" x14ac:dyDescent="0.25">
      <c r="A17" t="s">
        <v>14</v>
      </c>
      <c r="B17">
        <v>3000</v>
      </c>
      <c r="C17" t="s">
        <v>9</v>
      </c>
      <c r="D17">
        <v>2</v>
      </c>
      <c r="E17">
        <v>8633.3279999999995</v>
      </c>
      <c r="F17">
        <v>32.134540000000001</v>
      </c>
      <c r="G17">
        <v>6</v>
      </c>
      <c r="H17" t="s">
        <v>23</v>
      </c>
      <c r="I17" t="s">
        <v>18</v>
      </c>
      <c r="J17">
        <v>0.5</v>
      </c>
      <c r="K17">
        <v>40</v>
      </c>
    </row>
    <row r="18" spans="1:11" x14ac:dyDescent="0.25">
      <c r="A18" t="s">
        <v>15</v>
      </c>
      <c r="B18">
        <v>1000</v>
      </c>
      <c r="C18" t="s">
        <v>9</v>
      </c>
      <c r="D18">
        <v>1</v>
      </c>
      <c r="E18">
        <v>2</v>
      </c>
      <c r="F18">
        <v>336.40732000000003</v>
      </c>
      <c r="G18">
        <v>5</v>
      </c>
      <c r="H18" t="s">
        <v>22</v>
      </c>
      <c r="I18" t="s">
        <v>17</v>
      </c>
      <c r="J18">
        <v>0.66700000000000004</v>
      </c>
      <c r="K18">
        <v>40</v>
      </c>
    </row>
    <row r="19" spans="1:11" x14ac:dyDescent="0.25">
      <c r="A19" t="s">
        <v>15</v>
      </c>
      <c r="B19">
        <v>1000</v>
      </c>
      <c r="C19" t="s">
        <v>9</v>
      </c>
      <c r="D19">
        <v>1</v>
      </c>
      <c r="E19">
        <v>8</v>
      </c>
      <c r="F19">
        <v>290.85437000000002</v>
      </c>
      <c r="G19">
        <v>5</v>
      </c>
      <c r="H19" t="s">
        <v>22</v>
      </c>
      <c r="I19" t="s">
        <v>17</v>
      </c>
      <c r="J19">
        <v>0.66700000000000004</v>
      </c>
      <c r="K19">
        <v>40</v>
      </c>
    </row>
    <row r="20" spans="1:11" x14ac:dyDescent="0.25">
      <c r="A20" t="s">
        <v>15</v>
      </c>
      <c r="B20">
        <v>1000</v>
      </c>
      <c r="C20" t="s">
        <v>9</v>
      </c>
      <c r="D20">
        <v>1</v>
      </c>
      <c r="E20">
        <v>24</v>
      </c>
      <c r="F20">
        <v>239.50112999999999</v>
      </c>
      <c r="G20">
        <v>5</v>
      </c>
      <c r="H20" t="s">
        <v>22</v>
      </c>
      <c r="I20" t="s">
        <v>17</v>
      </c>
      <c r="J20">
        <v>0.66700000000000004</v>
      </c>
      <c r="K20">
        <v>40</v>
      </c>
    </row>
    <row r="21" spans="1:11" x14ac:dyDescent="0.25">
      <c r="A21" t="s">
        <v>15</v>
      </c>
      <c r="B21">
        <v>1000</v>
      </c>
      <c r="C21" t="s">
        <v>9</v>
      </c>
      <c r="D21">
        <v>1</v>
      </c>
      <c r="E21">
        <v>72</v>
      </c>
      <c r="F21">
        <v>201.79388</v>
      </c>
      <c r="G21">
        <v>5</v>
      </c>
      <c r="H21" t="s">
        <v>22</v>
      </c>
      <c r="I21" t="s">
        <v>17</v>
      </c>
      <c r="J21">
        <v>0.66700000000000004</v>
      </c>
      <c r="K21">
        <v>40</v>
      </c>
    </row>
    <row r="22" spans="1:11" x14ac:dyDescent="0.25">
      <c r="A22" t="s">
        <v>15</v>
      </c>
      <c r="B22">
        <v>1000</v>
      </c>
      <c r="C22" t="s">
        <v>9</v>
      </c>
      <c r="D22">
        <v>1</v>
      </c>
      <c r="E22">
        <v>120</v>
      </c>
      <c r="F22">
        <v>211.41141999999999</v>
      </c>
      <c r="G22">
        <v>5</v>
      </c>
      <c r="H22" t="s">
        <v>22</v>
      </c>
      <c r="I22" t="s">
        <v>17</v>
      </c>
      <c r="J22">
        <v>0.66700000000000004</v>
      </c>
      <c r="K22">
        <v>40</v>
      </c>
    </row>
    <row r="23" spans="1:11" x14ac:dyDescent="0.25">
      <c r="A23" t="s">
        <v>15</v>
      </c>
      <c r="B23">
        <v>1000</v>
      </c>
      <c r="C23" t="s">
        <v>9</v>
      </c>
      <c r="D23">
        <v>1</v>
      </c>
      <c r="E23">
        <v>168</v>
      </c>
      <c r="F23">
        <v>187</v>
      </c>
      <c r="G23">
        <v>5</v>
      </c>
      <c r="H23" t="s">
        <v>22</v>
      </c>
      <c r="I23" t="s">
        <v>17</v>
      </c>
      <c r="J23">
        <v>0.66700000000000004</v>
      </c>
      <c r="K23">
        <v>40</v>
      </c>
    </row>
    <row r="24" spans="1:11" x14ac:dyDescent="0.25">
      <c r="A24" t="s">
        <v>15</v>
      </c>
      <c r="B24">
        <v>1000</v>
      </c>
      <c r="C24" t="s">
        <v>9</v>
      </c>
      <c r="D24">
        <v>1</v>
      </c>
      <c r="E24">
        <v>336</v>
      </c>
      <c r="F24">
        <v>190</v>
      </c>
      <c r="G24">
        <v>5</v>
      </c>
      <c r="H24" t="s">
        <v>22</v>
      </c>
      <c r="I24" t="s">
        <v>17</v>
      </c>
      <c r="J24">
        <v>0.66700000000000004</v>
      </c>
      <c r="K24">
        <v>40</v>
      </c>
    </row>
    <row r="25" spans="1:11" x14ac:dyDescent="0.25">
      <c r="A25" t="s">
        <v>15</v>
      </c>
      <c r="B25">
        <v>1000</v>
      </c>
      <c r="C25" t="s">
        <v>9</v>
      </c>
      <c r="D25">
        <v>1</v>
      </c>
      <c r="E25">
        <v>503.72201999999999</v>
      </c>
      <c r="F25">
        <v>162.9864</v>
      </c>
      <c r="G25">
        <v>5</v>
      </c>
      <c r="H25" t="s">
        <v>22</v>
      </c>
      <c r="I25" t="s">
        <v>17</v>
      </c>
      <c r="J25">
        <v>0.66700000000000004</v>
      </c>
      <c r="K25">
        <v>40</v>
      </c>
    </row>
    <row r="26" spans="1:11" x14ac:dyDescent="0.25">
      <c r="A26" t="s">
        <v>15</v>
      </c>
      <c r="B26">
        <v>1000</v>
      </c>
      <c r="C26" t="s">
        <v>9</v>
      </c>
      <c r="D26">
        <v>1</v>
      </c>
      <c r="E26">
        <v>723.89189999999996</v>
      </c>
      <c r="F26">
        <v>165.24467000000001</v>
      </c>
      <c r="G26">
        <v>5</v>
      </c>
      <c r="H26" t="s">
        <v>22</v>
      </c>
      <c r="I26" t="s">
        <v>17</v>
      </c>
      <c r="J26">
        <v>0.66700000000000004</v>
      </c>
      <c r="K26">
        <v>40</v>
      </c>
    </row>
    <row r="27" spans="1:11" x14ac:dyDescent="0.25">
      <c r="A27" t="s">
        <v>15</v>
      </c>
      <c r="B27">
        <v>1000</v>
      </c>
      <c r="C27" t="s">
        <v>9</v>
      </c>
      <c r="D27">
        <v>1</v>
      </c>
      <c r="E27">
        <v>1447.7837999999999</v>
      </c>
      <c r="F27">
        <v>122.08249000000001</v>
      </c>
      <c r="G27">
        <v>5</v>
      </c>
      <c r="H27" t="s">
        <v>22</v>
      </c>
      <c r="I27" t="s">
        <v>17</v>
      </c>
      <c r="J27">
        <v>0.66700000000000004</v>
      </c>
      <c r="K27">
        <v>40</v>
      </c>
    </row>
    <row r="28" spans="1:11" x14ac:dyDescent="0.25">
      <c r="A28" t="s">
        <v>15</v>
      </c>
      <c r="B28">
        <v>1000</v>
      </c>
      <c r="C28" t="s">
        <v>9</v>
      </c>
      <c r="D28">
        <v>1</v>
      </c>
      <c r="E28">
        <v>2158.3319999999999</v>
      </c>
      <c r="F28">
        <v>90.194336000000007</v>
      </c>
      <c r="G28">
        <v>5</v>
      </c>
      <c r="H28" t="s">
        <v>22</v>
      </c>
      <c r="I28" t="s">
        <v>17</v>
      </c>
      <c r="J28">
        <v>0.66700000000000004</v>
      </c>
      <c r="K28">
        <v>40</v>
      </c>
    </row>
    <row r="29" spans="1:11" x14ac:dyDescent="0.25">
      <c r="A29" t="s">
        <v>15</v>
      </c>
      <c r="B29">
        <v>1000</v>
      </c>
      <c r="C29" t="s">
        <v>9</v>
      </c>
      <c r="D29">
        <v>1</v>
      </c>
      <c r="E29">
        <v>2882.2239</v>
      </c>
      <c r="F29">
        <v>80.238439999999997</v>
      </c>
      <c r="G29">
        <v>5</v>
      </c>
      <c r="H29" t="s">
        <v>22</v>
      </c>
      <c r="I29" t="s">
        <v>17</v>
      </c>
      <c r="J29">
        <v>0.66700000000000004</v>
      </c>
      <c r="K29">
        <v>40</v>
      </c>
    </row>
    <row r="30" spans="1:11" x14ac:dyDescent="0.25">
      <c r="A30" t="s">
        <v>15</v>
      </c>
      <c r="B30">
        <v>1000</v>
      </c>
      <c r="C30" t="s">
        <v>9</v>
      </c>
      <c r="D30">
        <v>1</v>
      </c>
      <c r="E30">
        <v>3596.1082000000001</v>
      </c>
      <c r="F30">
        <v>64.826560000000001</v>
      </c>
      <c r="G30">
        <v>5</v>
      </c>
      <c r="H30" t="s">
        <v>22</v>
      </c>
      <c r="I30" t="s">
        <v>17</v>
      </c>
      <c r="J30">
        <v>0.66700000000000004</v>
      </c>
      <c r="K30">
        <v>40</v>
      </c>
    </row>
    <row r="31" spans="1:11" x14ac:dyDescent="0.25">
      <c r="A31" t="s">
        <v>15</v>
      </c>
      <c r="B31">
        <v>1000</v>
      </c>
      <c r="C31" t="s">
        <v>9</v>
      </c>
      <c r="D31">
        <v>1</v>
      </c>
      <c r="E31">
        <v>4326.6719999999996</v>
      </c>
      <c r="F31">
        <v>44.402799999999999</v>
      </c>
      <c r="G31">
        <v>5</v>
      </c>
      <c r="H31" t="s">
        <v>22</v>
      </c>
      <c r="I31" t="s">
        <v>17</v>
      </c>
      <c r="J31">
        <v>0.66700000000000004</v>
      </c>
      <c r="K31">
        <v>40</v>
      </c>
    </row>
    <row r="32" spans="1:11" x14ac:dyDescent="0.25">
      <c r="A32" t="s">
        <v>15</v>
      </c>
      <c r="B32">
        <v>1000</v>
      </c>
      <c r="C32" t="s">
        <v>9</v>
      </c>
      <c r="D32">
        <v>1</v>
      </c>
      <c r="E32">
        <v>6481.6679999999997</v>
      </c>
      <c r="F32">
        <v>24.069890000000001</v>
      </c>
      <c r="G32">
        <v>5</v>
      </c>
      <c r="H32" t="s">
        <v>22</v>
      </c>
      <c r="I32" t="s">
        <v>17</v>
      </c>
      <c r="J32">
        <v>0.66700000000000004</v>
      </c>
      <c r="K32">
        <v>40</v>
      </c>
    </row>
    <row r="33" spans="1:11" x14ac:dyDescent="0.25">
      <c r="A33" t="s">
        <v>15</v>
      </c>
      <c r="B33">
        <v>1000</v>
      </c>
      <c r="C33" t="s">
        <v>9</v>
      </c>
      <c r="D33">
        <v>1</v>
      </c>
      <c r="E33">
        <v>8640</v>
      </c>
      <c r="F33">
        <v>14.972654</v>
      </c>
      <c r="G33">
        <v>5</v>
      </c>
      <c r="H33" t="s">
        <v>22</v>
      </c>
      <c r="I33" t="s">
        <v>17</v>
      </c>
      <c r="J33">
        <v>0.66700000000000004</v>
      </c>
      <c r="K33">
        <v>40</v>
      </c>
    </row>
    <row r="34" spans="1:11" x14ac:dyDescent="0.25">
      <c r="A34" t="s">
        <v>11</v>
      </c>
      <c r="B34">
        <v>300</v>
      </c>
      <c r="C34" t="s">
        <v>9</v>
      </c>
      <c r="D34">
        <v>0.5</v>
      </c>
      <c r="E34">
        <v>2</v>
      </c>
      <c r="F34">
        <v>96.707700000000003</v>
      </c>
      <c r="G34">
        <v>5</v>
      </c>
      <c r="H34" t="s">
        <v>21</v>
      </c>
      <c r="I34" t="s">
        <v>16</v>
      </c>
      <c r="J34">
        <v>0.33300000000000002</v>
      </c>
      <c r="K34">
        <v>40</v>
      </c>
    </row>
    <row r="35" spans="1:11" x14ac:dyDescent="0.25">
      <c r="A35" t="s">
        <v>11</v>
      </c>
      <c r="B35">
        <v>300</v>
      </c>
      <c r="C35" t="s">
        <v>9</v>
      </c>
      <c r="D35">
        <v>0.5</v>
      </c>
      <c r="E35">
        <v>8</v>
      </c>
      <c r="F35">
        <v>86.702629999999999</v>
      </c>
      <c r="G35">
        <v>5</v>
      </c>
      <c r="H35" t="s">
        <v>21</v>
      </c>
      <c r="I35" t="s">
        <v>16</v>
      </c>
      <c r="J35">
        <v>0.33300000000000002</v>
      </c>
      <c r="K35">
        <v>40</v>
      </c>
    </row>
    <row r="36" spans="1:11" x14ac:dyDescent="0.25">
      <c r="A36" t="s">
        <v>11</v>
      </c>
      <c r="B36">
        <v>300</v>
      </c>
      <c r="C36" t="s">
        <v>9</v>
      </c>
      <c r="D36">
        <v>0.5</v>
      </c>
      <c r="E36">
        <v>24</v>
      </c>
      <c r="F36">
        <v>79.610510000000005</v>
      </c>
      <c r="G36">
        <v>5</v>
      </c>
      <c r="H36" t="s">
        <v>21</v>
      </c>
      <c r="I36" t="s">
        <v>16</v>
      </c>
      <c r="J36">
        <v>0.33300000000000002</v>
      </c>
      <c r="K36">
        <v>40</v>
      </c>
    </row>
    <row r="37" spans="1:11" x14ac:dyDescent="0.25">
      <c r="A37" t="s">
        <v>11</v>
      </c>
      <c r="B37">
        <v>300</v>
      </c>
      <c r="C37" t="s">
        <v>9</v>
      </c>
      <c r="D37">
        <v>0.5</v>
      </c>
      <c r="E37">
        <v>72</v>
      </c>
      <c r="F37">
        <v>61.627870000000001</v>
      </c>
      <c r="G37">
        <v>5</v>
      </c>
      <c r="H37" t="s">
        <v>21</v>
      </c>
      <c r="I37" t="s">
        <v>16</v>
      </c>
      <c r="J37">
        <v>0.33300000000000002</v>
      </c>
      <c r="K37">
        <v>40</v>
      </c>
    </row>
    <row r="38" spans="1:11" x14ac:dyDescent="0.25">
      <c r="A38" t="s">
        <v>11</v>
      </c>
      <c r="B38">
        <v>300</v>
      </c>
      <c r="C38" t="s">
        <v>9</v>
      </c>
      <c r="D38">
        <v>0.5</v>
      </c>
      <c r="E38">
        <v>120</v>
      </c>
      <c r="F38">
        <v>58.605200000000004</v>
      </c>
      <c r="G38">
        <v>5</v>
      </c>
      <c r="H38" t="s">
        <v>21</v>
      </c>
      <c r="I38" t="s">
        <v>16</v>
      </c>
      <c r="J38">
        <v>0.33300000000000002</v>
      </c>
      <c r="K38">
        <v>40</v>
      </c>
    </row>
    <row r="39" spans="1:11" x14ac:dyDescent="0.25">
      <c r="A39" t="s">
        <v>11</v>
      </c>
      <c r="B39">
        <v>300</v>
      </c>
      <c r="C39" t="s">
        <v>9</v>
      </c>
      <c r="D39">
        <v>0.5</v>
      </c>
      <c r="E39">
        <v>168</v>
      </c>
      <c r="F39">
        <v>52.45966</v>
      </c>
      <c r="G39">
        <v>5</v>
      </c>
      <c r="H39" t="s">
        <v>21</v>
      </c>
      <c r="I39" t="s">
        <v>16</v>
      </c>
      <c r="J39">
        <v>0.33300000000000002</v>
      </c>
      <c r="K39">
        <v>40</v>
      </c>
    </row>
    <row r="40" spans="1:11" x14ac:dyDescent="0.25">
      <c r="A40" t="s">
        <v>11</v>
      </c>
      <c r="B40">
        <v>300</v>
      </c>
      <c r="C40" t="s">
        <v>9</v>
      </c>
      <c r="D40">
        <v>0.5</v>
      </c>
      <c r="E40">
        <v>286.88803000000001</v>
      </c>
      <c r="F40">
        <v>53.467224000000002</v>
      </c>
      <c r="G40">
        <v>5</v>
      </c>
      <c r="H40" t="s">
        <v>21</v>
      </c>
      <c r="I40" t="s">
        <v>16</v>
      </c>
      <c r="J40">
        <v>0.33300000000000002</v>
      </c>
      <c r="K40">
        <v>40</v>
      </c>
    </row>
    <row r="41" spans="1:11" x14ac:dyDescent="0.25">
      <c r="A41" t="s">
        <v>11</v>
      </c>
      <c r="B41">
        <v>300</v>
      </c>
      <c r="C41" t="s">
        <v>9</v>
      </c>
      <c r="D41">
        <v>0.5</v>
      </c>
      <c r="E41">
        <v>336</v>
      </c>
      <c r="F41">
        <v>47.309063000000002</v>
      </c>
      <c r="G41">
        <v>5</v>
      </c>
      <c r="H41" t="s">
        <v>21</v>
      </c>
      <c r="I41" t="s">
        <v>16</v>
      </c>
      <c r="J41">
        <v>0.33300000000000002</v>
      </c>
      <c r="K41">
        <v>40</v>
      </c>
    </row>
    <row r="42" spans="1:11" x14ac:dyDescent="0.25">
      <c r="A42" t="s">
        <v>11</v>
      </c>
      <c r="B42">
        <v>300</v>
      </c>
      <c r="C42" t="s">
        <v>9</v>
      </c>
      <c r="D42">
        <v>0.5</v>
      </c>
      <c r="E42">
        <v>460.35521999999997</v>
      </c>
      <c r="F42">
        <v>47.239227</v>
      </c>
      <c r="G42">
        <v>5</v>
      </c>
      <c r="H42" t="s">
        <v>21</v>
      </c>
      <c r="I42" t="s">
        <v>16</v>
      </c>
      <c r="J42">
        <v>0.33300000000000002</v>
      </c>
      <c r="K42">
        <v>40</v>
      </c>
    </row>
    <row r="43" spans="1:11" x14ac:dyDescent="0.25">
      <c r="A43" t="s">
        <v>11</v>
      </c>
      <c r="B43">
        <v>300</v>
      </c>
      <c r="C43" t="s">
        <v>9</v>
      </c>
      <c r="D43">
        <v>0.5</v>
      </c>
      <c r="E43">
        <v>627.15060000000005</v>
      </c>
      <c r="F43">
        <v>42.607109999999999</v>
      </c>
      <c r="G43">
        <v>5</v>
      </c>
      <c r="H43" t="s">
        <v>21</v>
      </c>
      <c r="I43" t="s">
        <v>16</v>
      </c>
      <c r="J43">
        <v>0.33300000000000002</v>
      </c>
      <c r="K43">
        <v>40</v>
      </c>
    </row>
    <row r="44" spans="1:11" x14ac:dyDescent="0.25">
      <c r="A44" t="s">
        <v>11</v>
      </c>
      <c r="B44">
        <v>300</v>
      </c>
      <c r="C44" t="s">
        <v>9</v>
      </c>
      <c r="D44">
        <v>0.5</v>
      </c>
      <c r="E44">
        <v>840.64859999999999</v>
      </c>
      <c r="F44">
        <v>42.314970000000002</v>
      </c>
      <c r="G44">
        <v>5</v>
      </c>
      <c r="H44" t="s">
        <v>21</v>
      </c>
      <c r="I44" t="s">
        <v>16</v>
      </c>
      <c r="J44">
        <v>0.33300000000000002</v>
      </c>
      <c r="K44">
        <v>40</v>
      </c>
    </row>
    <row r="45" spans="1:11" x14ac:dyDescent="0.25">
      <c r="A45" t="s">
        <v>11</v>
      </c>
      <c r="B45">
        <v>300</v>
      </c>
      <c r="C45" t="s">
        <v>9</v>
      </c>
      <c r="D45">
        <v>0.5</v>
      </c>
      <c r="E45">
        <v>1557.8688</v>
      </c>
      <c r="F45">
        <v>30.20506</v>
      </c>
      <c r="G45">
        <v>5</v>
      </c>
      <c r="H45" t="s">
        <v>21</v>
      </c>
      <c r="I45" t="s">
        <v>16</v>
      </c>
      <c r="J45">
        <v>0.33300000000000002</v>
      </c>
      <c r="K45">
        <v>40</v>
      </c>
    </row>
    <row r="46" spans="1:11" x14ac:dyDescent="0.25">
      <c r="A46" t="s">
        <v>11</v>
      </c>
      <c r="B46">
        <v>300</v>
      </c>
      <c r="C46" t="s">
        <v>9</v>
      </c>
      <c r="D46">
        <v>0.5</v>
      </c>
      <c r="E46">
        <v>2271.7530000000002</v>
      </c>
      <c r="F46">
        <v>25.607462000000002</v>
      </c>
      <c r="G46">
        <v>5</v>
      </c>
      <c r="H46" t="s">
        <v>21</v>
      </c>
      <c r="I46" t="s">
        <v>16</v>
      </c>
      <c r="J46">
        <v>0.33300000000000002</v>
      </c>
      <c r="K46">
        <v>40</v>
      </c>
    </row>
    <row r="47" spans="1:11" x14ac:dyDescent="0.25">
      <c r="A47" t="s">
        <v>11</v>
      </c>
      <c r="B47">
        <v>300</v>
      </c>
      <c r="C47" t="s">
        <v>9</v>
      </c>
      <c r="D47">
        <v>0.5</v>
      </c>
      <c r="E47">
        <v>2998.9807000000001</v>
      </c>
      <c r="F47">
        <v>18.029184000000001</v>
      </c>
      <c r="G47">
        <v>5</v>
      </c>
      <c r="H47" t="s">
        <v>21</v>
      </c>
      <c r="I47" t="s">
        <v>16</v>
      </c>
      <c r="J47">
        <v>0.33300000000000002</v>
      </c>
      <c r="K47">
        <v>40</v>
      </c>
    </row>
    <row r="48" spans="1:11" x14ac:dyDescent="0.25">
      <c r="A48" t="s">
        <v>11</v>
      </c>
      <c r="B48">
        <v>300</v>
      </c>
      <c r="C48" t="s">
        <v>9</v>
      </c>
      <c r="D48">
        <v>0.5</v>
      </c>
      <c r="E48">
        <v>3722.8726000000001</v>
      </c>
      <c r="F48">
        <v>12.781261000000001</v>
      </c>
      <c r="G48">
        <v>5</v>
      </c>
      <c r="H48" t="s">
        <v>21</v>
      </c>
      <c r="I48" t="s">
        <v>16</v>
      </c>
      <c r="J48">
        <v>0.33300000000000002</v>
      </c>
      <c r="K48">
        <v>40</v>
      </c>
    </row>
    <row r="49" spans="1:11" x14ac:dyDescent="0.25">
      <c r="A49" t="s">
        <v>11</v>
      </c>
      <c r="B49">
        <v>300</v>
      </c>
      <c r="C49" t="s">
        <v>9</v>
      </c>
      <c r="D49">
        <v>0.5</v>
      </c>
      <c r="E49">
        <v>4446.7646000000004</v>
      </c>
      <c r="F49">
        <v>10.541644</v>
      </c>
      <c r="G49">
        <v>5</v>
      </c>
      <c r="H49" t="s">
        <v>21</v>
      </c>
      <c r="I49" t="s">
        <v>16</v>
      </c>
      <c r="J49">
        <v>0.33300000000000002</v>
      </c>
      <c r="K49">
        <v>40</v>
      </c>
    </row>
    <row r="50" spans="1:11" x14ac:dyDescent="0.25">
      <c r="A50" t="s">
        <v>11</v>
      </c>
      <c r="B50">
        <v>300</v>
      </c>
      <c r="C50" t="s">
        <v>9</v>
      </c>
      <c r="D50">
        <v>0.5</v>
      </c>
      <c r="E50">
        <v>6595.0889999999999</v>
      </c>
      <c r="F50">
        <v>7.8960585999999999</v>
      </c>
      <c r="G50">
        <v>5</v>
      </c>
      <c r="H50" t="s">
        <v>21</v>
      </c>
      <c r="I50" t="s">
        <v>16</v>
      </c>
      <c r="J50">
        <v>0.33300000000000002</v>
      </c>
      <c r="K50">
        <v>40</v>
      </c>
    </row>
    <row r="51" spans="1:11" x14ac:dyDescent="0.25">
      <c r="A51" t="s">
        <v>11</v>
      </c>
      <c r="B51">
        <v>300</v>
      </c>
      <c r="C51" t="s">
        <v>9</v>
      </c>
      <c r="D51">
        <v>0.5</v>
      </c>
      <c r="E51">
        <v>8756.7569999999996</v>
      </c>
      <c r="F51">
        <v>4.6168164999999997</v>
      </c>
      <c r="G51">
        <v>5</v>
      </c>
      <c r="H51" t="s">
        <v>21</v>
      </c>
      <c r="I51" t="s">
        <v>16</v>
      </c>
      <c r="J51">
        <v>0.33300000000000002</v>
      </c>
      <c r="K51">
        <v>40</v>
      </c>
    </row>
    <row r="52" spans="1:11" x14ac:dyDescent="0.25">
      <c r="A52" t="s">
        <v>12</v>
      </c>
      <c r="B52">
        <v>300</v>
      </c>
      <c r="C52" t="s">
        <v>10</v>
      </c>
      <c r="D52" t="s">
        <v>27</v>
      </c>
      <c r="E52">
        <v>8</v>
      </c>
      <c r="F52">
        <v>11.080399999999999</v>
      </c>
      <c r="G52">
        <v>75</v>
      </c>
      <c r="H52" t="s">
        <v>25</v>
      </c>
      <c r="I52" t="s">
        <v>20</v>
      </c>
      <c r="J52">
        <v>0.5</v>
      </c>
      <c r="K52">
        <v>40</v>
      </c>
    </row>
    <row r="53" spans="1:11" x14ac:dyDescent="0.25">
      <c r="A53" t="s">
        <v>12</v>
      </c>
      <c r="B53">
        <v>300</v>
      </c>
      <c r="C53" t="s">
        <v>10</v>
      </c>
      <c r="D53" t="s">
        <v>27</v>
      </c>
      <c r="E53">
        <v>24</v>
      </c>
      <c r="F53">
        <v>26.150528000000001</v>
      </c>
      <c r="G53">
        <v>75</v>
      </c>
      <c r="H53" t="s">
        <v>25</v>
      </c>
      <c r="I53" t="s">
        <v>20</v>
      </c>
      <c r="J53">
        <v>0.5</v>
      </c>
      <c r="K53">
        <v>40</v>
      </c>
    </row>
    <row r="54" spans="1:11" x14ac:dyDescent="0.25">
      <c r="A54" t="s">
        <v>12</v>
      </c>
      <c r="B54">
        <v>300</v>
      </c>
      <c r="C54" t="s">
        <v>10</v>
      </c>
      <c r="D54" t="s">
        <v>27</v>
      </c>
      <c r="E54">
        <v>72</v>
      </c>
      <c r="F54">
        <v>39.869124999999997</v>
      </c>
      <c r="G54">
        <v>75</v>
      </c>
      <c r="H54" t="s">
        <v>25</v>
      </c>
      <c r="I54" t="s">
        <v>20</v>
      </c>
      <c r="J54">
        <v>0.5</v>
      </c>
      <c r="K54">
        <v>40</v>
      </c>
    </row>
    <row r="55" spans="1:11" x14ac:dyDescent="0.25">
      <c r="A55" t="s">
        <v>12</v>
      </c>
      <c r="B55">
        <v>300</v>
      </c>
      <c r="C55" t="s">
        <v>10</v>
      </c>
      <c r="D55" t="s">
        <v>27</v>
      </c>
      <c r="E55">
        <v>120</v>
      </c>
      <c r="F55">
        <v>42.277152999999998</v>
      </c>
      <c r="G55">
        <v>75</v>
      </c>
      <c r="H55" t="s">
        <v>25</v>
      </c>
      <c r="I55" t="s">
        <v>20</v>
      </c>
      <c r="J55">
        <v>0.5</v>
      </c>
      <c r="K55">
        <v>40</v>
      </c>
    </row>
    <row r="56" spans="1:11" x14ac:dyDescent="0.25">
      <c r="A56" t="s">
        <v>12</v>
      </c>
      <c r="B56">
        <v>300</v>
      </c>
      <c r="C56" t="s">
        <v>10</v>
      </c>
      <c r="D56" t="s">
        <v>27</v>
      </c>
      <c r="E56">
        <v>168</v>
      </c>
      <c r="F56">
        <v>40.5</v>
      </c>
      <c r="G56">
        <v>75</v>
      </c>
      <c r="H56" t="s">
        <v>25</v>
      </c>
      <c r="I56" t="s">
        <v>20</v>
      </c>
      <c r="J56">
        <v>0.5</v>
      </c>
      <c r="K56">
        <v>40</v>
      </c>
    </row>
    <row r="57" spans="1:11" x14ac:dyDescent="0.25">
      <c r="A57" t="s">
        <v>12</v>
      </c>
      <c r="B57">
        <v>300</v>
      </c>
      <c r="C57" t="s">
        <v>10</v>
      </c>
      <c r="D57" t="s">
        <v>27</v>
      </c>
      <c r="E57">
        <v>336</v>
      </c>
      <c r="F57">
        <v>41</v>
      </c>
      <c r="G57">
        <v>75</v>
      </c>
      <c r="H57" t="s">
        <v>25</v>
      </c>
      <c r="I57" t="s">
        <v>20</v>
      </c>
      <c r="J57">
        <v>0.5</v>
      </c>
      <c r="K57">
        <v>40</v>
      </c>
    </row>
    <row r="58" spans="1:11" x14ac:dyDescent="0.25">
      <c r="A58" t="s">
        <v>12</v>
      </c>
      <c r="B58">
        <v>300</v>
      </c>
      <c r="C58" t="s">
        <v>10</v>
      </c>
      <c r="D58" t="s">
        <v>27</v>
      </c>
      <c r="E58">
        <v>500.3861</v>
      </c>
      <c r="F58">
        <v>38.165706999999998</v>
      </c>
      <c r="G58">
        <v>75</v>
      </c>
      <c r="H58" t="s">
        <v>25</v>
      </c>
      <c r="I58" t="s">
        <v>20</v>
      </c>
      <c r="J58">
        <v>0.5</v>
      </c>
      <c r="K58">
        <v>40</v>
      </c>
    </row>
    <row r="59" spans="1:11" x14ac:dyDescent="0.25">
      <c r="A59" t="s">
        <v>12</v>
      </c>
      <c r="B59">
        <v>300</v>
      </c>
      <c r="C59" t="s">
        <v>10</v>
      </c>
      <c r="D59" t="s">
        <v>27</v>
      </c>
      <c r="E59">
        <v>720.55597</v>
      </c>
      <c r="F59">
        <v>36.875087999999998</v>
      </c>
      <c r="G59">
        <v>75</v>
      </c>
      <c r="H59" t="s">
        <v>25</v>
      </c>
      <c r="I59" t="s">
        <v>20</v>
      </c>
      <c r="J59">
        <v>0.5</v>
      </c>
      <c r="K59">
        <v>40</v>
      </c>
    </row>
    <row r="60" spans="1:11" x14ac:dyDescent="0.25">
      <c r="A60" t="s">
        <v>12</v>
      </c>
      <c r="B60">
        <v>300</v>
      </c>
      <c r="C60" t="s">
        <v>10</v>
      </c>
      <c r="D60" t="s">
        <v>27</v>
      </c>
      <c r="E60">
        <v>1437.7760000000001</v>
      </c>
      <c r="F60">
        <v>26.321991000000001</v>
      </c>
      <c r="G60">
        <v>75</v>
      </c>
      <c r="H60" t="s">
        <v>25</v>
      </c>
      <c r="I60" t="s">
        <v>20</v>
      </c>
      <c r="J60">
        <v>0.5</v>
      </c>
      <c r="K60">
        <v>40</v>
      </c>
    </row>
    <row r="61" spans="1:11" x14ac:dyDescent="0.25">
      <c r="A61" t="s">
        <v>12</v>
      </c>
      <c r="B61">
        <v>300</v>
      </c>
      <c r="C61" t="s">
        <v>10</v>
      </c>
      <c r="D61" t="s">
        <v>27</v>
      </c>
      <c r="E61">
        <v>2158.3319999999999</v>
      </c>
      <c r="F61">
        <v>19.180879999999998</v>
      </c>
      <c r="G61">
        <v>75</v>
      </c>
      <c r="H61" t="s">
        <v>25</v>
      </c>
      <c r="I61" t="s">
        <v>20</v>
      </c>
      <c r="J61">
        <v>0.5</v>
      </c>
      <c r="K61">
        <v>40</v>
      </c>
    </row>
    <row r="62" spans="1:11" x14ac:dyDescent="0.25">
      <c r="A62" t="s">
        <v>12</v>
      </c>
      <c r="B62">
        <v>300</v>
      </c>
      <c r="C62" t="s">
        <v>10</v>
      </c>
      <c r="D62" t="s">
        <v>27</v>
      </c>
      <c r="E62">
        <v>2878.8879999999999</v>
      </c>
      <c r="F62">
        <v>15.180109</v>
      </c>
      <c r="G62">
        <v>75</v>
      </c>
      <c r="H62" t="s">
        <v>25</v>
      </c>
      <c r="I62" t="s">
        <v>20</v>
      </c>
      <c r="J62">
        <v>0.5</v>
      </c>
      <c r="K62">
        <v>40</v>
      </c>
    </row>
    <row r="63" spans="1:11" x14ac:dyDescent="0.25">
      <c r="A63" t="s">
        <v>12</v>
      </c>
      <c r="B63">
        <v>300</v>
      </c>
      <c r="C63" t="s">
        <v>10</v>
      </c>
      <c r="D63" t="s">
        <v>27</v>
      </c>
      <c r="E63">
        <v>3599.444</v>
      </c>
      <c r="F63">
        <v>11.138142</v>
      </c>
      <c r="G63">
        <v>75</v>
      </c>
      <c r="H63" t="s">
        <v>25</v>
      </c>
      <c r="I63" t="s">
        <v>20</v>
      </c>
      <c r="J63">
        <v>0.5</v>
      </c>
      <c r="K63">
        <v>40</v>
      </c>
    </row>
    <row r="64" spans="1:11" x14ac:dyDescent="0.25">
      <c r="A64" t="s">
        <v>12</v>
      </c>
      <c r="B64">
        <v>300</v>
      </c>
      <c r="C64" t="s">
        <v>10</v>
      </c>
      <c r="D64" t="s">
        <v>27</v>
      </c>
      <c r="E64">
        <v>4326.6719999999996</v>
      </c>
      <c r="F64">
        <v>9.6397049999999993</v>
      </c>
      <c r="G64">
        <v>75</v>
      </c>
      <c r="H64" t="s">
        <v>25</v>
      </c>
      <c r="I64" t="s">
        <v>20</v>
      </c>
      <c r="J64">
        <v>0.5</v>
      </c>
      <c r="K64">
        <v>40</v>
      </c>
    </row>
    <row r="65" spans="1:11" x14ac:dyDescent="0.25">
      <c r="A65" t="s">
        <v>12</v>
      </c>
      <c r="B65">
        <v>300</v>
      </c>
      <c r="C65" t="s">
        <v>10</v>
      </c>
      <c r="D65" t="s">
        <v>27</v>
      </c>
      <c r="E65">
        <v>6478.3320000000003</v>
      </c>
      <c r="F65">
        <v>4.9456470000000001</v>
      </c>
      <c r="G65">
        <v>75</v>
      </c>
      <c r="H65" t="s">
        <v>25</v>
      </c>
      <c r="I65" t="s">
        <v>20</v>
      </c>
      <c r="J65">
        <v>0.5</v>
      </c>
      <c r="K65">
        <v>40</v>
      </c>
    </row>
    <row r="66" spans="1:11" x14ac:dyDescent="0.25">
      <c r="A66" t="s">
        <v>12</v>
      </c>
      <c r="B66">
        <v>300</v>
      </c>
      <c r="C66" t="s">
        <v>10</v>
      </c>
      <c r="D66" t="s">
        <v>27</v>
      </c>
      <c r="E66">
        <v>8646.6720000000005</v>
      </c>
      <c r="F66">
        <v>2.73685</v>
      </c>
      <c r="G66">
        <v>75</v>
      </c>
      <c r="H66" t="s">
        <v>25</v>
      </c>
      <c r="I66" t="s">
        <v>20</v>
      </c>
      <c r="J66">
        <v>0.5</v>
      </c>
      <c r="K66">
        <v>40</v>
      </c>
    </row>
    <row r="67" spans="1:11" x14ac:dyDescent="0.25">
      <c r="A67" t="s">
        <v>13</v>
      </c>
      <c r="B67">
        <v>100</v>
      </c>
      <c r="C67" t="s">
        <v>10</v>
      </c>
      <c r="D67" t="s">
        <v>28</v>
      </c>
      <c r="E67">
        <v>2</v>
      </c>
      <c r="F67">
        <v>0.40703893000000002</v>
      </c>
      <c r="G67">
        <v>6</v>
      </c>
      <c r="H67" t="s">
        <v>24</v>
      </c>
      <c r="I67" t="s">
        <v>19</v>
      </c>
      <c r="J67">
        <v>0</v>
      </c>
      <c r="K67">
        <v>40</v>
      </c>
    </row>
    <row r="68" spans="1:11" x14ac:dyDescent="0.25">
      <c r="A68" t="s">
        <v>13</v>
      </c>
      <c r="B68">
        <v>100</v>
      </c>
      <c r="C68" t="s">
        <v>10</v>
      </c>
      <c r="D68" t="s">
        <v>28</v>
      </c>
      <c r="E68">
        <v>8</v>
      </c>
      <c r="F68">
        <v>5.0445580000000003</v>
      </c>
      <c r="G68">
        <v>6</v>
      </c>
      <c r="H68" t="s">
        <v>24</v>
      </c>
      <c r="I68" t="s">
        <v>19</v>
      </c>
      <c r="J68">
        <v>0</v>
      </c>
      <c r="K68">
        <v>40</v>
      </c>
    </row>
    <row r="69" spans="1:11" x14ac:dyDescent="0.25">
      <c r="A69" t="s">
        <v>13</v>
      </c>
      <c r="B69">
        <v>100</v>
      </c>
      <c r="C69" t="s">
        <v>10</v>
      </c>
      <c r="D69" t="s">
        <v>28</v>
      </c>
      <c r="E69">
        <v>24</v>
      </c>
      <c r="F69">
        <v>10.548099499999999</v>
      </c>
      <c r="G69">
        <v>6</v>
      </c>
      <c r="H69" t="s">
        <v>24</v>
      </c>
      <c r="I69" t="s">
        <v>19</v>
      </c>
      <c r="J69">
        <v>0</v>
      </c>
      <c r="K69">
        <v>40</v>
      </c>
    </row>
    <row r="70" spans="1:11" x14ac:dyDescent="0.25">
      <c r="A70" t="s">
        <v>13</v>
      </c>
      <c r="B70">
        <v>100</v>
      </c>
      <c r="C70" t="s">
        <v>10</v>
      </c>
      <c r="D70" t="s">
        <v>28</v>
      </c>
      <c r="E70">
        <v>72</v>
      </c>
      <c r="F70">
        <v>20.735724999999999</v>
      </c>
      <c r="G70">
        <v>6</v>
      </c>
      <c r="H70" t="s">
        <v>24</v>
      </c>
      <c r="I70" t="s">
        <v>19</v>
      </c>
      <c r="J70">
        <v>0</v>
      </c>
      <c r="K70">
        <v>40</v>
      </c>
    </row>
    <row r="71" spans="1:11" x14ac:dyDescent="0.25">
      <c r="A71" t="s">
        <v>13</v>
      </c>
      <c r="B71">
        <v>100</v>
      </c>
      <c r="C71" t="s">
        <v>10</v>
      </c>
      <c r="D71" t="s">
        <v>28</v>
      </c>
      <c r="E71">
        <v>120</v>
      </c>
      <c r="F71">
        <v>16.052164000000001</v>
      </c>
      <c r="G71">
        <v>6</v>
      </c>
      <c r="H71" t="s">
        <v>24</v>
      </c>
      <c r="I71" t="s">
        <v>19</v>
      </c>
      <c r="J71">
        <v>0</v>
      </c>
      <c r="K71">
        <v>40</v>
      </c>
    </row>
    <row r="72" spans="1:11" x14ac:dyDescent="0.25">
      <c r="A72" t="s">
        <v>13</v>
      </c>
      <c r="B72">
        <v>100</v>
      </c>
      <c r="C72" t="s">
        <v>10</v>
      </c>
      <c r="D72" t="s">
        <v>28</v>
      </c>
      <c r="E72">
        <v>168</v>
      </c>
      <c r="F72">
        <v>18.979880999999999</v>
      </c>
      <c r="G72">
        <v>6</v>
      </c>
      <c r="H72" t="s">
        <v>24</v>
      </c>
      <c r="I72" t="s">
        <v>19</v>
      </c>
      <c r="J72">
        <v>0</v>
      </c>
      <c r="K72">
        <v>40</v>
      </c>
    </row>
    <row r="73" spans="1:11" x14ac:dyDescent="0.25">
      <c r="A73" t="s">
        <v>13</v>
      </c>
      <c r="B73">
        <v>100</v>
      </c>
      <c r="C73" t="s">
        <v>10</v>
      </c>
      <c r="D73" t="s">
        <v>28</v>
      </c>
      <c r="E73">
        <v>260.20078000000001</v>
      </c>
      <c r="F73">
        <v>18.918748999999998</v>
      </c>
      <c r="G73">
        <v>6</v>
      </c>
      <c r="H73" t="s">
        <v>24</v>
      </c>
      <c r="I73" t="s">
        <v>19</v>
      </c>
      <c r="J73">
        <v>0</v>
      </c>
      <c r="K73">
        <v>40</v>
      </c>
    </row>
    <row r="74" spans="1:11" x14ac:dyDescent="0.25">
      <c r="A74" t="s">
        <v>13</v>
      </c>
      <c r="B74">
        <v>100</v>
      </c>
      <c r="C74" t="s">
        <v>10</v>
      </c>
      <c r="D74" t="s">
        <v>28</v>
      </c>
      <c r="E74">
        <v>336</v>
      </c>
      <c r="F74">
        <v>14.983222</v>
      </c>
      <c r="G74">
        <v>6</v>
      </c>
      <c r="H74" t="s">
        <v>24</v>
      </c>
      <c r="I74" t="s">
        <v>19</v>
      </c>
      <c r="J74">
        <v>0</v>
      </c>
      <c r="K74">
        <v>40</v>
      </c>
    </row>
    <row r="75" spans="1:11" x14ac:dyDescent="0.25">
      <c r="A75" t="s">
        <v>13</v>
      </c>
      <c r="B75">
        <v>100</v>
      </c>
      <c r="C75" t="s">
        <v>10</v>
      </c>
      <c r="D75" t="s">
        <v>28</v>
      </c>
      <c r="E75">
        <v>426.99612000000002</v>
      </c>
      <c r="F75">
        <v>15.711410000000001</v>
      </c>
      <c r="G75">
        <v>6</v>
      </c>
      <c r="H75" t="s">
        <v>24</v>
      </c>
      <c r="I75" t="s">
        <v>19</v>
      </c>
      <c r="J75">
        <v>0</v>
      </c>
      <c r="K75">
        <v>40</v>
      </c>
    </row>
    <row r="76" spans="1:11" x14ac:dyDescent="0.25">
      <c r="A76" t="s">
        <v>13</v>
      </c>
      <c r="B76">
        <v>100</v>
      </c>
      <c r="C76" t="s">
        <v>10</v>
      </c>
      <c r="D76" t="s">
        <v>28</v>
      </c>
      <c r="E76">
        <v>607.13513</v>
      </c>
      <c r="F76">
        <v>18.405187999999999</v>
      </c>
      <c r="G76">
        <v>6</v>
      </c>
      <c r="H76" t="s">
        <v>24</v>
      </c>
      <c r="I76" t="s">
        <v>19</v>
      </c>
      <c r="J76">
        <v>0</v>
      </c>
      <c r="K76">
        <v>40</v>
      </c>
    </row>
    <row r="77" spans="1:11" x14ac:dyDescent="0.25">
      <c r="A77" t="s">
        <v>13</v>
      </c>
      <c r="B77">
        <v>100</v>
      </c>
      <c r="C77" t="s">
        <v>10</v>
      </c>
      <c r="D77" t="s">
        <v>28</v>
      </c>
      <c r="E77">
        <v>810.62549999999999</v>
      </c>
      <c r="F77">
        <v>16.830445999999998</v>
      </c>
      <c r="G77">
        <v>6</v>
      </c>
      <c r="H77" t="s">
        <v>24</v>
      </c>
      <c r="I77" t="s">
        <v>19</v>
      </c>
      <c r="J77">
        <v>0</v>
      </c>
      <c r="K77">
        <v>40</v>
      </c>
    </row>
    <row r="78" spans="1:11" x14ac:dyDescent="0.25">
      <c r="A78" t="s">
        <v>13</v>
      </c>
      <c r="B78">
        <v>100</v>
      </c>
      <c r="C78" t="s">
        <v>10</v>
      </c>
      <c r="D78" t="s">
        <v>28</v>
      </c>
      <c r="E78">
        <v>1537.8533</v>
      </c>
      <c r="F78">
        <v>10.614424</v>
      </c>
      <c r="G78">
        <v>6</v>
      </c>
      <c r="H78" t="s">
        <v>24</v>
      </c>
      <c r="I78" t="s">
        <v>19</v>
      </c>
      <c r="J78">
        <v>0</v>
      </c>
      <c r="K78">
        <v>40</v>
      </c>
    </row>
    <row r="79" spans="1:11" x14ac:dyDescent="0.25">
      <c r="A79" t="s">
        <v>13</v>
      </c>
      <c r="B79">
        <v>100</v>
      </c>
      <c r="C79" t="s">
        <v>10</v>
      </c>
      <c r="D79" t="s">
        <v>28</v>
      </c>
      <c r="E79">
        <v>2248.4016000000001</v>
      </c>
      <c r="F79">
        <v>10.541644</v>
      </c>
      <c r="G79">
        <v>6</v>
      </c>
      <c r="H79" t="s">
        <v>24</v>
      </c>
      <c r="I79" t="s">
        <v>19</v>
      </c>
      <c r="J79">
        <v>0</v>
      </c>
      <c r="K79">
        <v>40</v>
      </c>
    </row>
    <row r="80" spans="1:11" x14ac:dyDescent="0.25">
      <c r="A80" t="s">
        <v>13</v>
      </c>
      <c r="B80">
        <v>100</v>
      </c>
      <c r="C80" t="s">
        <v>10</v>
      </c>
      <c r="D80" t="s">
        <v>28</v>
      </c>
      <c r="E80">
        <v>2975.6293999999998</v>
      </c>
      <c r="F80">
        <v>6.0794534999999996</v>
      </c>
      <c r="G80">
        <v>6</v>
      </c>
      <c r="H80" t="s">
        <v>24</v>
      </c>
      <c r="I80" t="s">
        <v>19</v>
      </c>
      <c r="J80">
        <v>0</v>
      </c>
      <c r="K80">
        <v>40</v>
      </c>
    </row>
    <row r="81" spans="1:11" x14ac:dyDescent="0.25">
      <c r="A81" t="s">
        <v>13</v>
      </c>
      <c r="B81">
        <v>100</v>
      </c>
      <c r="C81" t="s">
        <v>10</v>
      </c>
      <c r="D81" t="s">
        <v>28</v>
      </c>
      <c r="E81">
        <v>3686.1774999999998</v>
      </c>
      <c r="F81">
        <v>4.7131014000000002</v>
      </c>
      <c r="G81">
        <v>6</v>
      </c>
      <c r="H81" t="s">
        <v>24</v>
      </c>
      <c r="I81" t="s">
        <v>19</v>
      </c>
      <c r="J81">
        <v>0</v>
      </c>
      <c r="K81">
        <v>40</v>
      </c>
    </row>
    <row r="82" spans="1:11" x14ac:dyDescent="0.25">
      <c r="A82" t="s">
        <v>13</v>
      </c>
      <c r="B82">
        <v>100</v>
      </c>
      <c r="C82" t="s">
        <v>10</v>
      </c>
      <c r="D82" t="s">
        <v>28</v>
      </c>
      <c r="E82">
        <v>4406.7334000000001</v>
      </c>
      <c r="F82">
        <v>3.5060709999999999</v>
      </c>
      <c r="G82">
        <v>6</v>
      </c>
      <c r="H82" t="s">
        <v>24</v>
      </c>
      <c r="I82" t="s">
        <v>19</v>
      </c>
      <c r="J82">
        <v>0</v>
      </c>
      <c r="K82">
        <v>40</v>
      </c>
    </row>
    <row r="83" spans="1:11" x14ac:dyDescent="0.25">
      <c r="A83" t="s">
        <v>13</v>
      </c>
      <c r="B83">
        <v>100</v>
      </c>
      <c r="C83" t="s">
        <v>10</v>
      </c>
      <c r="D83" t="s">
        <v>28</v>
      </c>
      <c r="E83">
        <v>6571.7372999999998</v>
      </c>
      <c r="F83">
        <v>2.288557</v>
      </c>
      <c r="G83">
        <v>6</v>
      </c>
      <c r="H83" t="s">
        <v>24</v>
      </c>
      <c r="I83" t="s">
        <v>19</v>
      </c>
      <c r="J83">
        <v>0</v>
      </c>
      <c r="K83">
        <v>40</v>
      </c>
    </row>
    <row r="84" spans="1:11" x14ac:dyDescent="0.25">
      <c r="A84" t="s">
        <v>13</v>
      </c>
      <c r="B84">
        <v>100</v>
      </c>
      <c r="C84" t="s">
        <v>10</v>
      </c>
      <c r="D84" t="s">
        <v>28</v>
      </c>
      <c r="E84">
        <v>8723.3970000000008</v>
      </c>
      <c r="F84">
        <v>1.3473550999999999</v>
      </c>
      <c r="G84">
        <v>6</v>
      </c>
      <c r="H84" t="s">
        <v>24</v>
      </c>
      <c r="I84" t="s">
        <v>19</v>
      </c>
      <c r="J84">
        <v>0</v>
      </c>
      <c r="K84">
        <v>40</v>
      </c>
    </row>
    <row r="85" spans="1:11" x14ac:dyDescent="0.25">
      <c r="A85" t="s">
        <v>29</v>
      </c>
      <c r="B85">
        <v>50</v>
      </c>
      <c r="C85" t="s">
        <v>10</v>
      </c>
      <c r="D85" t="s">
        <v>28</v>
      </c>
      <c r="E85">
        <v>168</v>
      </c>
      <c r="F85">
        <v>70.136849999999995</v>
      </c>
      <c r="G85">
        <v>32</v>
      </c>
      <c r="H85">
        <f>6.94/12</f>
        <v>0.57833333333333337</v>
      </c>
      <c r="I85">
        <v>7.07</v>
      </c>
      <c r="J85">
        <v>0.40600000000000003</v>
      </c>
      <c r="K85">
        <v>33.200000000000003</v>
      </c>
    </row>
    <row r="86" spans="1:11" x14ac:dyDescent="0.25">
      <c r="A86" t="s">
        <v>29</v>
      </c>
      <c r="B86">
        <v>50</v>
      </c>
      <c r="C86" t="s">
        <v>10</v>
      </c>
      <c r="D86" t="s">
        <v>28</v>
      </c>
      <c r="E86">
        <v>720</v>
      </c>
      <c r="F86">
        <v>53.383470000000003</v>
      </c>
      <c r="G86">
        <v>32</v>
      </c>
      <c r="H86">
        <f t="shared" ref="H86:H88" si="0">6.94/12</f>
        <v>0.57833333333333337</v>
      </c>
      <c r="I86">
        <v>7.07</v>
      </c>
      <c r="J86">
        <v>0.40600000000000003</v>
      </c>
      <c r="K86">
        <v>33.200000000000003</v>
      </c>
    </row>
    <row r="87" spans="1:11" x14ac:dyDescent="0.25">
      <c r="A87" t="s">
        <v>29</v>
      </c>
      <c r="B87">
        <v>50</v>
      </c>
      <c r="C87" t="s">
        <v>10</v>
      </c>
      <c r="D87" t="s">
        <v>28</v>
      </c>
      <c r="E87">
        <v>3600</v>
      </c>
      <c r="F87">
        <v>10.678236</v>
      </c>
      <c r="G87">
        <v>32</v>
      </c>
      <c r="H87">
        <f t="shared" si="0"/>
        <v>0.57833333333333337</v>
      </c>
      <c r="I87">
        <v>7.07</v>
      </c>
      <c r="J87">
        <v>0.40600000000000003</v>
      </c>
      <c r="K87">
        <v>33.200000000000003</v>
      </c>
    </row>
    <row r="88" spans="1:11" x14ac:dyDescent="0.25">
      <c r="A88" t="s">
        <v>29</v>
      </c>
      <c r="B88">
        <v>50</v>
      </c>
      <c r="C88" t="s">
        <v>10</v>
      </c>
      <c r="D88" t="s">
        <v>28</v>
      </c>
      <c r="E88">
        <v>8640</v>
      </c>
      <c r="F88">
        <v>1.4725351</v>
      </c>
      <c r="G88">
        <v>32</v>
      </c>
      <c r="H88">
        <f t="shared" si="0"/>
        <v>0.57833333333333337</v>
      </c>
      <c r="I88">
        <v>7.07</v>
      </c>
      <c r="J88">
        <v>0.40600000000000003</v>
      </c>
      <c r="K88">
        <v>33.200000000000003</v>
      </c>
    </row>
    <row r="89" spans="1:11" x14ac:dyDescent="0.25">
      <c r="A89" t="s">
        <v>30</v>
      </c>
      <c r="B89">
        <v>25</v>
      </c>
      <c r="C89" t="s">
        <v>10</v>
      </c>
      <c r="D89" t="s">
        <v>28</v>
      </c>
      <c r="E89">
        <v>168</v>
      </c>
      <c r="F89">
        <v>30.283207000000001</v>
      </c>
      <c r="G89">
        <v>31</v>
      </c>
      <c r="H89">
        <f>6.65/12</f>
        <v>0.5541666666666667</v>
      </c>
      <c r="I89">
        <v>6.8</v>
      </c>
      <c r="J89">
        <v>0.38700000000000001</v>
      </c>
      <c r="K89">
        <v>33</v>
      </c>
    </row>
    <row r="90" spans="1:11" x14ac:dyDescent="0.25">
      <c r="A90" t="s">
        <v>30</v>
      </c>
      <c r="B90">
        <v>25</v>
      </c>
      <c r="C90" t="s">
        <v>10</v>
      </c>
      <c r="D90" t="s">
        <v>28</v>
      </c>
      <c r="E90">
        <v>720</v>
      </c>
      <c r="F90">
        <v>20.055237000000002</v>
      </c>
      <c r="G90">
        <v>31</v>
      </c>
      <c r="H90">
        <f t="shared" ref="H90:H92" si="1">6.65/12</f>
        <v>0.5541666666666667</v>
      </c>
      <c r="I90">
        <v>6.8</v>
      </c>
      <c r="J90">
        <v>0.38700000000000001</v>
      </c>
      <c r="K90">
        <v>33</v>
      </c>
    </row>
    <row r="91" spans="1:11" x14ac:dyDescent="0.25">
      <c r="A91" t="s">
        <v>30</v>
      </c>
      <c r="B91">
        <v>25</v>
      </c>
      <c r="C91" t="s">
        <v>10</v>
      </c>
      <c r="D91" t="s">
        <v>28</v>
      </c>
      <c r="E91">
        <v>3600</v>
      </c>
      <c r="F91">
        <v>5.480156</v>
      </c>
      <c r="G91">
        <v>31</v>
      </c>
      <c r="H91">
        <f t="shared" si="1"/>
        <v>0.5541666666666667</v>
      </c>
      <c r="I91">
        <v>6.8</v>
      </c>
      <c r="J91">
        <v>0.38700000000000001</v>
      </c>
      <c r="K91">
        <v>33</v>
      </c>
    </row>
    <row r="92" spans="1:11" x14ac:dyDescent="0.25">
      <c r="A92" t="s">
        <v>30</v>
      </c>
      <c r="B92">
        <v>25</v>
      </c>
      <c r="C92" t="s">
        <v>10</v>
      </c>
      <c r="D92" t="s">
        <v>28</v>
      </c>
      <c r="E92">
        <v>8640</v>
      </c>
      <c r="F92">
        <v>0.8769361</v>
      </c>
      <c r="G92">
        <v>31</v>
      </c>
      <c r="H92">
        <f t="shared" si="1"/>
        <v>0.5541666666666667</v>
      </c>
      <c r="I92">
        <v>6.8</v>
      </c>
      <c r="J92">
        <v>0.38700000000000001</v>
      </c>
      <c r="K92">
        <v>33</v>
      </c>
    </row>
    <row r="93" spans="1:11" x14ac:dyDescent="0.25">
      <c r="A93" t="s">
        <v>31</v>
      </c>
      <c r="B93">
        <v>10</v>
      </c>
      <c r="C93" t="s">
        <v>10</v>
      </c>
      <c r="D93" t="s">
        <v>28</v>
      </c>
      <c r="E93">
        <v>168</v>
      </c>
      <c r="F93">
        <v>20.042824</v>
      </c>
      <c r="G93">
        <v>8</v>
      </c>
      <c r="H93">
        <f>4.18/12</f>
        <v>0.34833333333333333</v>
      </c>
      <c r="I93">
        <v>5.75</v>
      </c>
      <c r="J93">
        <v>0.5</v>
      </c>
      <c r="K93">
        <v>33.1</v>
      </c>
    </row>
    <row r="94" spans="1:11" x14ac:dyDescent="0.25">
      <c r="A94" t="s">
        <v>31</v>
      </c>
      <c r="B94">
        <v>10</v>
      </c>
      <c r="C94" t="s">
        <v>10</v>
      </c>
      <c r="D94" t="s">
        <v>28</v>
      </c>
      <c r="E94">
        <v>720</v>
      </c>
      <c r="F94">
        <v>10.850446</v>
      </c>
      <c r="G94">
        <v>8</v>
      </c>
      <c r="H94">
        <f t="shared" ref="H94:H96" si="2">4.18/12</f>
        <v>0.34833333333333333</v>
      </c>
      <c r="I94">
        <v>5.75</v>
      </c>
      <c r="J94">
        <v>0.5</v>
      </c>
      <c r="K94">
        <v>33.1</v>
      </c>
    </row>
    <row r="95" spans="1:11" x14ac:dyDescent="0.25">
      <c r="A95" t="s">
        <v>31</v>
      </c>
      <c r="B95">
        <v>10</v>
      </c>
      <c r="C95" t="s">
        <v>10</v>
      </c>
      <c r="D95" t="s">
        <v>28</v>
      </c>
      <c r="E95">
        <v>3600</v>
      </c>
      <c r="F95">
        <v>4.2290710000000002</v>
      </c>
      <c r="G95">
        <v>8</v>
      </c>
      <c r="H95">
        <f t="shared" si="2"/>
        <v>0.34833333333333333</v>
      </c>
      <c r="I95">
        <v>5.75</v>
      </c>
      <c r="J95">
        <v>0.5</v>
      </c>
      <c r="K95">
        <v>33.1</v>
      </c>
    </row>
    <row r="96" spans="1:11" x14ac:dyDescent="0.25">
      <c r="A96" t="s">
        <v>31</v>
      </c>
      <c r="B96">
        <v>10</v>
      </c>
      <c r="C96" t="s">
        <v>10</v>
      </c>
      <c r="D96" t="s">
        <v>28</v>
      </c>
      <c r="E96">
        <v>8640</v>
      </c>
      <c r="F96">
        <v>0.63276279999999996</v>
      </c>
      <c r="G96">
        <v>8</v>
      </c>
      <c r="H96">
        <f t="shared" si="2"/>
        <v>0.34833333333333333</v>
      </c>
      <c r="I96">
        <v>5.75</v>
      </c>
      <c r="J96">
        <v>0.5</v>
      </c>
      <c r="K96">
        <v>33.1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prvmalik</dc:creator>
  <cp:lastModifiedBy>Paul Malik</cp:lastModifiedBy>
  <dcterms:created xsi:type="dcterms:W3CDTF">2019-09-02T17:48:24Z</dcterms:created>
  <dcterms:modified xsi:type="dcterms:W3CDTF">2026-10-07T13:32:01Z</dcterms:modified>
</cp:coreProperties>
</file>