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1_log_IV" sheetId="1" state="visible" r:id="rId3"/>
    <sheet name="Fig1_log_SC_thig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<sst xmlns="http://schemas.openxmlformats.org/spreadsheetml/2006/main" count="12" uniqueCount="7">
  <si>
    <t xml:space="preserve">time [days]</t>
  </si>
  <si>
    <t xml:space="preserve">time_scanned [days]</t>
  </si>
  <si>
    <t xml:space="preserve">IV (conc) [µg/ml]</t>
  </si>
  <si>
    <t xml:space="preserve">Smith2011_mepolizumab.pdf</t>
  </si>
  <si>
    <t xml:space="preserve">(30 min infusion))</t>
  </si>
  <si>
    <t xml:space="preserve">Smith2011; DOI: 10.2165/11584340-000000000-00000</t>
  </si>
  <si>
    <t xml:space="preserve">SC_thigh (conc) [µg/ml]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</si>
</sst>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008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mith2011_mepolizumab.pd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Smith2011_mepolizumab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0.6796875" defaultRowHeight="15" customHeight="true" zeroHeight="false" outlineLevelRow="0" outlineLevelCol="0"/>
  <cols>
    <col collapsed="false" customWidth="true" hidden="false" outlineLevel="0" max="4" min="4" style="0" width="19.42"/>
  </cols>
  <sheetData>
    <row r="1" customFormat="false" ht="15" hidden="false" customHeight="false" outlineLevel="0" collapsed="false">
      <c r="A1" s="0" t="s">
        <v>0</v>
      </c>
      <c r="D1" s="0" t="s">
        <v>1</v>
      </c>
      <c r="E1" s="1" t="s">
        <v>2</v>
      </c>
      <c r="G1" s="2" t="s">
        <v>3</v>
      </c>
    </row>
    <row r="2" customFormat="false" ht="15" hidden="false" customHeight="false" outlineLevel="0" collapsed="false">
      <c r="A2" s="0" t="n">
        <f aca="false">15/60/24</f>
        <v>0.0104166666666667</v>
      </c>
      <c r="B2" s="0" t="s">
        <v>4</v>
      </c>
      <c r="D2" s="0" t="n">
        <v>-3.800537E-009</v>
      </c>
      <c r="E2" s="0" t="n">
        <v>53.13742</v>
      </c>
      <c r="G2" s="0" t="s">
        <v>5</v>
      </c>
    </row>
    <row r="3" customFormat="false" ht="15" hidden="false" customHeight="false" outlineLevel="0" collapsed="false">
      <c r="A3" s="0" t="n">
        <f aca="false">D3</f>
        <v>0.1150748</v>
      </c>
      <c r="D3" s="0" t="n">
        <v>0.1150748</v>
      </c>
      <c r="E3" s="0" t="n">
        <v>103.212</v>
      </c>
    </row>
    <row r="4" customFormat="false" ht="15" hidden="false" customHeight="false" outlineLevel="0" collapsed="false">
      <c r="A4" s="0" t="n">
        <f aca="false">D4</f>
        <v>1.035673</v>
      </c>
      <c r="D4" s="0" t="n">
        <v>1.035673</v>
      </c>
      <c r="E4" s="0" t="n">
        <v>81.42451</v>
      </c>
    </row>
    <row r="5" customFormat="false" ht="15" hidden="false" customHeight="false" outlineLevel="0" collapsed="false">
      <c r="A5" s="0" t="n">
        <f aca="false">D5</f>
        <v>1.956272</v>
      </c>
      <c r="D5" s="0" t="n">
        <v>1.956272</v>
      </c>
      <c r="E5" s="0" t="n">
        <v>67.35584</v>
      </c>
    </row>
    <row r="6" customFormat="false" ht="15" hidden="false" customHeight="false" outlineLevel="0" collapsed="false">
      <c r="A6" s="0" t="n">
        <f aca="false">D6</f>
        <v>3.10702</v>
      </c>
      <c r="D6" s="0" t="n">
        <v>3.10702</v>
      </c>
      <c r="E6" s="0" t="n">
        <v>58.42388</v>
      </c>
    </row>
    <row r="7" customFormat="false" ht="15" hidden="false" customHeight="false" outlineLevel="0" collapsed="false">
      <c r="A7" s="0" t="n">
        <f aca="false">D7</f>
        <v>4.027618</v>
      </c>
      <c r="D7" s="0" t="n">
        <v>4.027618</v>
      </c>
      <c r="E7" s="0" t="n">
        <v>54.84417</v>
      </c>
    </row>
    <row r="8" customFormat="false" ht="15" hidden="false" customHeight="false" outlineLevel="0" collapsed="false">
      <c r="A8" s="0" t="n">
        <f aca="false">D8</f>
        <v>4.948216</v>
      </c>
      <c r="D8" s="0" t="n">
        <v>4.948216</v>
      </c>
      <c r="E8" s="0" t="n">
        <v>50.67637</v>
      </c>
    </row>
    <row r="9" customFormat="false" ht="15" hidden="false" customHeight="false" outlineLevel="0" collapsed="false">
      <c r="A9" s="0" t="n">
        <f aca="false">D9</f>
        <v>6.329114</v>
      </c>
      <c r="D9" s="0" t="n">
        <v>6.329114</v>
      </c>
      <c r="E9" s="0" t="n">
        <v>45.3681</v>
      </c>
    </row>
    <row r="10" customFormat="false" ht="15" hidden="false" customHeight="false" outlineLevel="0" collapsed="false">
      <c r="A10" s="0" t="n">
        <f aca="false">D10</f>
        <v>14.03913</v>
      </c>
      <c r="D10" s="0" t="n">
        <v>14.03913</v>
      </c>
      <c r="E10" s="0" t="n">
        <v>32.04209</v>
      </c>
    </row>
    <row r="11" customFormat="false" ht="15" hidden="false" customHeight="false" outlineLevel="0" collapsed="false">
      <c r="A11" s="0" t="n">
        <f aca="false">D11</f>
        <v>20.94361</v>
      </c>
      <c r="D11" s="0" t="n">
        <v>20.94361</v>
      </c>
      <c r="E11" s="0" t="n">
        <v>24.10744</v>
      </c>
    </row>
    <row r="12" customFormat="false" ht="15" hidden="false" customHeight="false" outlineLevel="0" collapsed="false">
      <c r="A12" s="0" t="n">
        <f aca="false">D12</f>
        <v>27.96318</v>
      </c>
      <c r="D12" s="0" t="n">
        <v>27.96318</v>
      </c>
      <c r="E12" s="0" t="n">
        <v>18.42664</v>
      </c>
    </row>
    <row r="13" customFormat="false" ht="15" hidden="false" customHeight="false" outlineLevel="0" collapsed="false">
      <c r="A13" s="0" t="n">
        <f aca="false">D13</f>
        <v>40.96663</v>
      </c>
      <c r="D13" s="0" t="n">
        <v>40.96663</v>
      </c>
      <c r="E13" s="0" t="n">
        <v>10.93709</v>
      </c>
    </row>
    <row r="14" customFormat="false" ht="15" hidden="false" customHeight="false" outlineLevel="0" collapsed="false">
      <c r="A14" s="0" t="n">
        <f aca="false">D14</f>
        <v>55.2359</v>
      </c>
      <c r="D14" s="0" t="n">
        <v>55.2359</v>
      </c>
      <c r="E14" s="0" t="n">
        <v>6.700188</v>
      </c>
    </row>
    <row r="15" customFormat="false" ht="15" hidden="false" customHeight="false" outlineLevel="0" collapsed="false">
      <c r="A15" s="0" t="n">
        <f aca="false">D15</f>
        <v>84.0046</v>
      </c>
      <c r="D15" s="0" t="n">
        <v>84.0046</v>
      </c>
      <c r="E15" s="0" t="n">
        <v>2.554599</v>
      </c>
    </row>
  </sheetData>
  <hyperlinks>
    <hyperlink ref="G1" r:id="rId1" display="Smith2011_mepolizu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6796875" defaultRowHeight="15" customHeight="true" zeroHeight="false" outlineLevelRow="0" outlineLevelCol="0"/>
  <cols>
    <col collapsed="false" customWidth="true" hidden="false" outlineLevel="0" max="4" min="4" style="0" width="19.42"/>
  </cols>
  <sheetData>
    <row r="1" customFormat="false" ht="15" hidden="false" customHeight="false" outlineLevel="0" collapsed="false">
      <c r="A1" s="0" t="s">
        <v>0</v>
      </c>
      <c r="B1" s="0" t="s">
        <v>1</v>
      </c>
      <c r="D1" s="0" t="s">
        <v>1</v>
      </c>
      <c r="E1" s="3" t="s">
        <v>6</v>
      </c>
      <c r="G1" s="2" t="s">
        <v>3</v>
      </c>
    </row>
    <row r="2" customFormat="false" ht="15" hidden="false" customHeight="false" outlineLevel="0" collapsed="false">
      <c r="D2" s="0" t="n">
        <v>0.1150748</v>
      </c>
      <c r="E2" s="0" t="n">
        <v>1.122906</v>
      </c>
      <c r="G2" s="0" t="s">
        <v>5</v>
      </c>
    </row>
    <row r="3" customFormat="false" ht="15" hidden="false" customHeight="false" outlineLevel="0" collapsed="false">
      <c r="D3" s="0" t="n">
        <v>0.1150748</v>
      </c>
      <c r="E3" s="0" t="n">
        <v>1.952621</v>
      </c>
    </row>
    <row r="4" customFormat="false" ht="15" hidden="false" customHeight="false" outlineLevel="0" collapsed="false">
      <c r="D4" s="0" t="n">
        <v>0.2301496</v>
      </c>
      <c r="E4" s="0" t="n">
        <v>3.504471</v>
      </c>
    </row>
    <row r="5" customFormat="false" ht="15" hidden="false" customHeight="false" outlineLevel="0" collapsed="false">
      <c r="D5" s="0" t="n">
        <v>0.3452244</v>
      </c>
      <c r="E5" s="0" t="n">
        <v>4.961947</v>
      </c>
    </row>
    <row r="6" customFormat="false" ht="15" hidden="false" customHeight="false" outlineLevel="0" collapsed="false">
      <c r="D6" s="0" t="n">
        <v>1.035673</v>
      </c>
      <c r="E6" s="0" t="n">
        <v>19.0185</v>
      </c>
    </row>
    <row r="7" customFormat="false" ht="15" hidden="false" customHeight="false" outlineLevel="0" collapsed="false">
      <c r="D7" s="0" t="n">
        <v>1.956272</v>
      </c>
      <c r="E7" s="0" t="n">
        <v>29.6071</v>
      </c>
    </row>
    <row r="8" customFormat="false" ht="15" hidden="false" customHeight="false" outlineLevel="0" collapsed="false">
      <c r="D8" s="0" t="n">
        <v>4.142693</v>
      </c>
      <c r="E8" s="0" t="n">
        <v>34.67734</v>
      </c>
    </row>
    <row r="9" customFormat="false" ht="15" hidden="false" customHeight="false" outlineLevel="0" collapsed="false">
      <c r="D9" s="0" t="n">
        <v>5.063291</v>
      </c>
      <c r="E9" s="0" t="n">
        <v>34.67734</v>
      </c>
    </row>
    <row r="10" customFormat="false" ht="15" hidden="false" customHeight="false" outlineLevel="0" collapsed="false">
      <c r="D10" s="0" t="n">
        <v>7.019563</v>
      </c>
      <c r="E10" s="0" t="n">
        <v>34.1335</v>
      </c>
    </row>
    <row r="11" customFormat="false" ht="15" hidden="false" customHeight="false" outlineLevel="0" collapsed="false">
      <c r="D11" s="0" t="n">
        <v>13.92405</v>
      </c>
      <c r="E11" s="0" t="n">
        <v>29.14277</v>
      </c>
    </row>
    <row r="12" customFormat="false" ht="15" hidden="false" customHeight="false" outlineLevel="0" collapsed="false">
      <c r="D12" s="0" t="n">
        <v>20.94361</v>
      </c>
      <c r="E12" s="0" t="n">
        <v>21.92608</v>
      </c>
    </row>
    <row r="13" customFormat="false" ht="15" hidden="false" customHeight="false" outlineLevel="0" collapsed="false">
      <c r="D13" s="0" t="n">
        <v>27.96318</v>
      </c>
      <c r="E13" s="0" t="n">
        <v>15.98311</v>
      </c>
    </row>
    <row r="14" customFormat="false" ht="15" hidden="false" customHeight="false" outlineLevel="0" collapsed="false">
      <c r="D14" s="0" t="n">
        <v>42.0023</v>
      </c>
      <c r="E14" s="0" t="n">
        <v>10.26695</v>
      </c>
    </row>
    <row r="15" customFormat="false" ht="15" hidden="false" customHeight="false" outlineLevel="0" collapsed="false">
      <c r="D15" s="0" t="n">
        <v>84.0046</v>
      </c>
      <c r="E15" s="0" t="n">
        <v>2.398075</v>
      </c>
    </row>
  </sheetData>
  <hyperlinks>
    <hyperlink ref="G1" r:id="rId1" display="Smith2011_mepolizu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2026-08-26T16:13:13Z</dcterms:created>
  <dc:creator>Dr. Christoph Niederalt</dc:creator>
  <dc:description/>
  <dc:language>en-US</dc:language>
  <cp:lastModifiedBy/>
  <dcterms:modified xsi:type="dcterms:W3CDTF">2026-08-27T07:25:13Z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7e068a1c-b3e8-4d12-b22b-ea56cc7cb2f9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2026-08-26T16:39:20Z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