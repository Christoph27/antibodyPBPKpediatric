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ladeBender2008ped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<sst xmlns="http://schemas.openxmlformats.org/spreadsheetml/2006/main" count="10" uniqueCount="8">
  <si>
    <t xml:space="preserve">Time [days]</t>
  </si>
  <si>
    <t xml:space="preserve">Time_scanned [days]</t>
  </si>
  <si>
    <t xml:space="preserve">5mgkg (Concentration) [µg/mL]</t>
  </si>
  <si>
    <t xml:space="preserve">Error(Arithm) 5mgkg [µg/mL]</t>
  </si>
  <si>
    <t xml:space="preserve">15mgkg (Concentration) [µg/mL]</t>
  </si>
  <si>
    <t xml:space="preserve">Error(Arithm) 15mgkg [µg/mL]</t>
  </si>
  <si>
    <t xml:space="preserve">GladeBender2008_Bevacizumab_ped.pdf</t>
  </si>
  <si>
    <t xml:space="preserve">Bender, Julia L. Glade, et al. "Phase I trial and pharmacokinetic study of bevacizumab in pediatric patients with refractory solid tumors: a Children's Oncology Group Study." Journal of Clinical Oncology 26.3 (2008): 399-405.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</si>
</sst>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FF"/>
      <name val="Calibri"/>
      <family val="0"/>
      <charset val="1"/>
    </font>
    <font>
      <sz val="11"/>
      <color rgb="FF008000"/>
      <name val="Calibri"/>
      <family val="0"/>
      <charset val="1"/>
    </font>
    <font>
      <u val="single"/>
      <sz val="11"/>
      <color theme="1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6" fillId="0" borderId="0" applyFont="true" applyBorder="false" applyAlignment="true" applyProtection="false">
      <alignment horizontal="general" vertical="bottom" textRotation="0" wrapText="false" indent="0" shrinkToFit="false"/>
    </xf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mpd="sng" algn="ctr">
          <a:prstDash val="solid"/>
        </a:ln>
        <a:ln w="25400" cmpd="sng" algn="ctr">
          <a:prstDash val="solid"/>
        </a:ln>
        <a:ln w="38100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sharepoint~/PMx_internal/Freigegebene%20Dokumente/SPM/Qualifications/LargeMolecules/PEQ/Literatur/GladeBender2008_Bevacizumab_ped.pdf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14" activeCellId="0" sqref="H14"/>
    </sheetView>
  </sheetViews>
  <sheetFormatPr defaultColWidth="10.6796875" defaultRowHeight="15" customHeight="true" zeroHeight="false" outlineLevelRow="0" outlineLevelCol="0"/>
  <cols>
    <col collapsed="false" customWidth="true" hidden="false" outlineLevel="0" max="2" min="2" style="0" width="19.71"/>
    <col collapsed="false" customWidth="true" hidden="false" outlineLevel="0" max="4" min="4" style="0" width="11.29"/>
    <col collapsed="false" customWidth="true" hidden="false" outlineLevel="0" max="5" min="5" style="0" width="29"/>
    <col collapsed="false" customWidth="true" hidden="false" outlineLevel="0" max="6" min="6" style="0" width="26.86"/>
    <col collapsed="false" customWidth="true" hidden="false" outlineLevel="0" max="7" min="7" style="0" width="11.29"/>
    <col collapsed="false" customWidth="true" hidden="false" outlineLevel="0" max="8" min="8" style="0" width="30"/>
    <col collapsed="false" customWidth="true" hidden="false" outlineLevel="0" max="9" min="9" style="0" width="27.86"/>
  </cols>
  <sheetData>
    <row r="1" customFormat="false" ht="15" hidden="false" customHeight="false" outlineLevel="0" collapsed="false">
      <c r="A1" s="0" t="s">
        <v>0</v>
      </c>
      <c r="B1" s="0" t="s">
        <v>1</v>
      </c>
      <c r="D1" s="0" t="s">
        <v>0</v>
      </c>
      <c r="E1" s="1" t="s">
        <v>2</v>
      </c>
      <c r="F1" s="1" t="s">
        <v>3</v>
      </c>
      <c r="G1" s="0" t="s">
        <v>0</v>
      </c>
      <c r="H1" s="2" t="s">
        <v>4</v>
      </c>
      <c r="I1" s="2" t="s">
        <v>5</v>
      </c>
      <c r="K1" s="3" t="s">
        <v>6</v>
      </c>
    </row>
    <row r="2" customFormat="false" ht="15" hidden="false" customHeight="false" outlineLevel="0" collapsed="false">
      <c r="A2" s="0" t="n">
        <f aca="false">(30+10)/(24*60)</f>
        <v>0.0277777777777778</v>
      </c>
      <c r="D2" s="0" t="n">
        <v>0.03403554</v>
      </c>
      <c r="E2" s="0" t="n">
        <v>101.8819</v>
      </c>
      <c r="F2" s="0" t="n">
        <v>12.05914</v>
      </c>
      <c r="G2" s="0" t="n">
        <v>0.01692628</v>
      </c>
      <c r="H2" s="0" t="n">
        <v>311.8366</v>
      </c>
      <c r="I2" s="0" t="n">
        <v>81.84189</v>
      </c>
      <c r="K2" s="0" t="s">
        <v>7</v>
      </c>
    </row>
    <row r="3" customFormat="false" ht="15" hidden="false" customHeight="false" outlineLevel="0" collapsed="false">
      <c r="A3" s="0" t="n">
        <f aca="false">(30+3*60)/(24*60)</f>
        <v>0.145833333333333</v>
      </c>
      <c r="D3" s="0" t="n">
        <v>0.1242023</v>
      </c>
      <c r="E3" s="0" t="n">
        <v>97.24208</v>
      </c>
      <c r="F3" s="0" t="n">
        <v>17.76611</v>
      </c>
      <c r="G3" s="0" t="n">
        <v>0.1524737</v>
      </c>
      <c r="H3" s="0" t="n">
        <v>308.9431</v>
      </c>
      <c r="I3" s="0" t="n">
        <v>88.42249</v>
      </c>
    </row>
    <row r="4" customFormat="false" ht="15" hidden="false" customHeight="false" outlineLevel="0" collapsed="false">
      <c r="A4" s="0" t="n">
        <f aca="false">(30+5*60)/(24*60)</f>
        <v>0.229166666666667</v>
      </c>
      <c r="D4" s="0" t="n">
        <v>0.2594753</v>
      </c>
      <c r="E4" s="0" t="n">
        <v>91.09912</v>
      </c>
      <c r="F4" s="0" t="n">
        <v>11.73701</v>
      </c>
      <c r="G4" s="0" t="n">
        <v>0.2422288</v>
      </c>
      <c r="H4" s="0" t="n">
        <v>271.143</v>
      </c>
      <c r="I4" s="0" t="n">
        <v>64.83884</v>
      </c>
    </row>
    <row r="5" customFormat="false" ht="15" hidden="false" customHeight="false" outlineLevel="0" collapsed="false">
      <c r="A5" s="0" t="n">
        <v>1</v>
      </c>
      <c r="D5" s="0" t="n">
        <v>1.004506</v>
      </c>
      <c r="E5" s="0" t="n">
        <v>78.476</v>
      </c>
      <c r="F5" s="0" t="n">
        <v>15.20682</v>
      </c>
      <c r="G5" s="0" t="n">
        <v>0.9879457</v>
      </c>
      <c r="H5" s="0" t="n">
        <v>268.6271</v>
      </c>
      <c r="I5" s="0" t="n">
        <v>86.68277</v>
      </c>
    </row>
    <row r="6" customFormat="false" ht="15" hidden="false" customHeight="false" outlineLevel="0" collapsed="false">
      <c r="A6" s="0" t="n">
        <v>2</v>
      </c>
      <c r="D6" s="0" t="n">
        <v>2.019854</v>
      </c>
      <c r="E6" s="0" t="n">
        <v>56.62868</v>
      </c>
      <c r="F6" s="0" t="n">
        <v>14.1989</v>
      </c>
      <c r="G6" s="0" t="n">
        <v>2.003568</v>
      </c>
      <c r="H6" s="0" t="n">
        <v>204.9939</v>
      </c>
      <c r="I6" s="0" t="n">
        <v>73.83908</v>
      </c>
    </row>
    <row r="7" customFormat="false" ht="15" hidden="false" customHeight="false" outlineLevel="0" collapsed="false">
      <c r="A7" s="0" t="n">
        <v>4</v>
      </c>
      <c r="D7" s="0" t="n">
        <v>4.007365</v>
      </c>
      <c r="E7" s="0" t="n">
        <v>44.43992</v>
      </c>
      <c r="F7" s="0" t="n">
        <v>9.60981</v>
      </c>
      <c r="G7" s="0" t="n">
        <v>4.01345</v>
      </c>
      <c r="H7" s="0" t="n">
        <v>153.5447</v>
      </c>
      <c r="I7" s="0" t="n">
        <v>51.44919</v>
      </c>
    </row>
    <row r="8" customFormat="false" ht="15" hidden="false" customHeight="false" outlineLevel="0" collapsed="false">
      <c r="A8" s="0" t="n">
        <v>7</v>
      </c>
      <c r="D8" s="0" t="n">
        <v>7.012146</v>
      </c>
      <c r="E8" s="0" t="n">
        <v>37.22633</v>
      </c>
      <c r="F8" s="0" t="n">
        <v>11.55561</v>
      </c>
      <c r="G8" s="0" t="n">
        <v>6.995082</v>
      </c>
      <c r="H8" s="0" t="n">
        <v>115.0082</v>
      </c>
      <c r="I8" s="0" t="n">
        <v>47.36947</v>
      </c>
    </row>
    <row r="9" customFormat="false" ht="15" hidden="false" customHeight="false" outlineLevel="0" collapsed="false">
      <c r="A9" s="0" t="n">
        <v>14</v>
      </c>
      <c r="D9" s="0" t="n">
        <v>13.99364</v>
      </c>
      <c r="E9" s="0" t="n">
        <v>27.1143</v>
      </c>
      <c r="F9" s="0" t="n">
        <v>7.760372</v>
      </c>
      <c r="G9" s="0" t="n">
        <v>13.99895</v>
      </c>
      <c r="H9" s="0" t="n">
        <v>79.95286</v>
      </c>
      <c r="I9" s="0" t="n">
        <v>35.05533</v>
      </c>
    </row>
  </sheetData>
  <hyperlinks>
    <hyperlink ref="K1" r:id="rId1" display="GladeBender2008_Bevacizumab_ped.pdf"/>
  </hyperlinks>
  <printOptions headings="false" gridLines="false" gridLinesSet="true" horizontalCentered="false" verticalCentered="false"/>
  <pageMargins left="0.7" right="0.7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2019-07-23T08:14:22Z</dcterms:created>
  <dc:creator>Christoph Niederalt</dc:creator>
  <dc:description/>
  <dc:language>en-US</dc:language>
  <cp:lastModifiedBy/>
  <dcterms:modified xsi:type="dcterms:W3CDTF">2026-08-07T12:20:23Z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