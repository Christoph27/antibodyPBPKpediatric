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20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21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19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1y35p3kg20mgkg" sheetId="1" state="visible" r:id="rId3"/>
    <sheet name="11y38p5kg10mgkg" sheetId="2" state="visible" r:id="rId4"/>
    <sheet name="12y37p3kg20mgkg" sheetId="3" state="visible" r:id="rId5"/>
    <sheet name="13y39p5kg20mgkg" sheetId="4" state="visible" r:id="rId6"/>
    <sheet name="13y60p9kg20mgkg" sheetId="5" state="visible" r:id="rId7"/>
    <sheet name="14y37p3kg20mgkg" sheetId="6" state="visible" r:id="rId8"/>
    <sheet name="14y60p8kg10mgkg" sheetId="7" state="visible" r:id="rId9"/>
    <sheet name="15y30p7kg10mgkg" sheetId="8" state="visible" r:id="rId10"/>
    <sheet name="15y65p6kg10mgkg" sheetId="9" state="visible" r:id="rId11"/>
    <sheet name="16y43p5kg20mgkg" sheetId="10" state="visible" r:id="rId12"/>
    <sheet name="16y49p5kg20mgkg" sheetId="11" state="visible" r:id="rId13"/>
    <sheet name="16y66p8kg20mgkg" sheetId="12" state="visible" r:id="rId14"/>
    <sheet name="17y78p7kg20mgkg" sheetId="13" state="visible" r:id="rId15"/>
    <sheet name="3y13p4kg20mgkg" sheetId="14" state="visible" r:id="rId16"/>
    <sheet name="3y16p6kg20mgkg" sheetId="15" state="visible" r:id="rId17"/>
    <sheet name="3y16p7kg20mgkg" sheetId="16" state="visible" r:id="rId18"/>
    <sheet name="6y22p4kg20mgkg" sheetId="17" state="visible" r:id="rId19"/>
    <sheet name="8y18p5kg10mgkg" sheetId="18" state="visible" r:id="rId20"/>
    <sheet name="9y15p3kg20mgkg" sheetId="19" state="visible" r:id="rId21"/>
    <sheet name="9y26p4kg10mgkg" sheetId="20" state="visible" r:id="rId22"/>
    <sheet name="9y36p7kg20mgkg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<sst xmlns="http://schemas.openxmlformats.org/spreadsheetml/2006/main" count="105" uniqueCount="25">
  <si>
    <t xml:space="preserve">time [days]</t>
  </si>
  <si>
    <t xml:space="preserve">time_scanned [days]</t>
  </si>
  <si>
    <t xml:space="preserve">11y35p3kg20mgkg (conc) [µg/ml]</t>
  </si>
  <si>
    <t xml:space="preserve">Vugmeyster2022_avelumab_SUPL.pdf</t>
  </si>
  <si>
    <t xml:space="preserve">Vugmeyster et al., Clinical Pharmacokinetics (2022) 61:985–995; https://doi.org/10.1007/s40262-022-01111-8</t>
  </si>
  <si>
    <t xml:space="preserve">11y38p5kg10mgkg (conc) [µg/ml]</t>
  </si>
  <si>
    <t xml:space="preserve">12y37p3kg20mgkg (conc) [µg/ml]</t>
  </si>
  <si>
    <t xml:space="preserve">13y39p5kg20mgkg (conc) [µg/ml]</t>
  </si>
  <si>
    <t xml:space="preserve">13y60p9kg20mgkg (conc) [µg/ml]</t>
  </si>
  <si>
    <t xml:space="preserve">14y37p3kg20mgkg (conc) [µg/ml]</t>
  </si>
  <si>
    <t xml:space="preserve">14y60p8kg10mgkg (conc) [µg/ml]</t>
  </si>
  <si>
    <t xml:space="preserve">15y30p7kg10mgkg (conc) [µg/ml]</t>
  </si>
  <si>
    <t xml:space="preserve">15y65p6kg10mgkg (conc) [µg/ml]</t>
  </si>
  <si>
    <t xml:space="preserve">16y43p5kg20mgkg (conc) [µg/ml]</t>
  </si>
  <si>
    <t xml:space="preserve">16y49p5kg20mgkg (conc) [µg/ml]</t>
  </si>
  <si>
    <t xml:space="preserve">16y66p8kg20mgkg (conc) [µg/ml]</t>
  </si>
  <si>
    <t xml:space="preserve">17y78p7kg20mgkg (conc) [µg/ml]</t>
  </si>
  <si>
    <t xml:space="preserve">3y13p4kg20mgkg (conc) [µg/ml]</t>
  </si>
  <si>
    <t xml:space="preserve">3y16p6kg20mgkg (conc) [µg/ml]</t>
  </si>
  <si>
    <t xml:space="preserve">3y16p7kg20mgkg (conc) [µg/ml]</t>
  </si>
  <si>
    <t xml:space="preserve">6y22p4kg20mgkg (conc) [µg/ml]</t>
  </si>
  <si>
    <t xml:space="preserve">8y18p5kg10mgkg (conc) [µg/ml]</t>
  </si>
  <si>
    <t xml:space="preserve">9y15p3kg20mgkg (conc) [µg/ml]</t>
  </si>
  <si>
    <t xml:space="preserve">9y26p4kg10mgkg (conc) [µg/ml]</t>
  </si>
  <si>
    <t xml:space="preserve">9y36p7kg20mgkg (conc) [µg/ml]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</si>
</sst>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libri"/>
      <family val="0"/>
      <charset val="1"/>
    </font>
    <font>
      <u val="single"/>
      <sz val="11"/>
      <color theme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../../../../../../ZFNTC/Downloads/Vugmeyster2022_avelumab_SUPL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2</v>
      </c>
      <c r="F1" s="2" t="s">
        <v>3</v>
      </c>
    </row>
    <row r="2" customFormat="false" ht="14.25" hidden="false" customHeight="false" outlineLevel="0" collapsed="false">
      <c r="A2" s="0" t="n">
        <f aca="false">1/24</f>
        <v>0.0416666666666667</v>
      </c>
      <c r="B2" s="0" t="n">
        <v>0.02906977</v>
      </c>
      <c r="D2" s="0" t="n">
        <v>278.961</v>
      </c>
      <c r="F2" s="0" t="s">
        <v>4</v>
      </c>
    </row>
    <row r="3" customFormat="false" ht="14.25" hidden="false" customHeight="false" outlineLevel="0" collapsed="false">
      <c r="A3" s="0" t="n">
        <f aca="false">3/24</f>
        <v>0.125</v>
      </c>
      <c r="B3" s="0" t="n">
        <v>0.0872093</v>
      </c>
      <c r="D3" s="0" t="n">
        <v>356.8831</v>
      </c>
    </row>
    <row r="4" customFormat="false" ht="14.25" hidden="false" customHeight="false" outlineLevel="0" collapsed="false">
      <c r="A4" s="0" t="n">
        <v>1.976744</v>
      </c>
      <c r="B4" s="0" t="n">
        <v>1.976744</v>
      </c>
      <c r="D4" s="0" t="n">
        <v>132.4675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5</v>
      </c>
      <c r="F1" s="2" t="s">
        <v>3</v>
      </c>
    </row>
    <row r="2" customFormat="false" ht="14.25" hidden="false" customHeight="false" outlineLevel="0" collapsed="false">
      <c r="A2" s="0" t="n">
        <f aca="false">1/24</f>
        <v>0.0416666666666667</v>
      </c>
      <c r="B2" s="0" t="n">
        <v>-0.05847953</v>
      </c>
      <c r="D2" s="0" t="n">
        <v>162.7998</v>
      </c>
      <c r="F2" s="0" t="s">
        <v>4</v>
      </c>
    </row>
    <row r="3" customFormat="false" ht="14.25" hidden="false" customHeight="false" outlineLevel="0" collapsed="false">
      <c r="A3" s="0" t="n">
        <f aca="false">3/24</f>
        <v>0.125</v>
      </c>
      <c r="B3" s="0" t="n">
        <v>0.0877193</v>
      </c>
      <c r="D3" s="0" t="n">
        <v>165.8779</v>
      </c>
    </row>
    <row r="4" customFormat="false" ht="14.25" hidden="false" customHeight="false" outlineLevel="0" collapsed="false">
      <c r="A4" s="0" t="n">
        <v>1.959064</v>
      </c>
      <c r="B4" s="0" t="n">
        <v>1.959064</v>
      </c>
      <c r="D4" s="0" t="n">
        <v>89.61875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6</v>
      </c>
      <c r="F1" s="2" t="s">
        <v>3</v>
      </c>
    </row>
    <row r="2" customFormat="false" ht="14.25" hidden="false" customHeight="false" outlineLevel="0" collapsed="false">
      <c r="A2" s="0" t="n">
        <f aca="false">1/24</f>
        <v>0.0416666666666667</v>
      </c>
      <c r="B2" s="0" t="n">
        <v>-0.0467223</v>
      </c>
      <c r="D2" s="0" t="n">
        <v>364.3483</v>
      </c>
      <c r="F2" s="0" t="s">
        <v>4</v>
      </c>
    </row>
    <row r="3" customFormat="false" ht="14.25" hidden="false" customHeight="false" outlineLevel="0" collapsed="false">
      <c r="A3" s="0" t="n">
        <f aca="false">3/24</f>
        <v>0.125</v>
      </c>
      <c r="B3" s="0" t="n">
        <v>0.09802669</v>
      </c>
      <c r="D3" s="0" t="n">
        <v>376.729</v>
      </c>
    </row>
    <row r="4" customFormat="false" ht="14.25" hidden="false" customHeight="false" outlineLevel="0" collapsed="false">
      <c r="A4" s="0" t="n">
        <v>2.024683</v>
      </c>
      <c r="B4" s="0" t="n">
        <v>2.024683</v>
      </c>
      <c r="D4" s="0" t="n">
        <v>210.5388</v>
      </c>
    </row>
    <row r="5" customFormat="false" ht="14.25" hidden="false" customHeight="false" outlineLevel="0" collapsed="false">
      <c r="A5" s="0" t="n">
        <v>12.90407</v>
      </c>
      <c r="B5" s="0" t="n">
        <v>12.90407</v>
      </c>
      <c r="D5" s="0" t="n">
        <v>60.01487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7</v>
      </c>
      <c r="F1" s="2" t="s">
        <v>3</v>
      </c>
    </row>
    <row r="2" customFormat="false" ht="14.25" hidden="false" customHeight="false" outlineLevel="0" collapsed="false">
      <c r="A2" s="0" t="n">
        <f aca="false">1/24</f>
        <v>0.0416666666666667</v>
      </c>
      <c r="B2" s="0" t="n">
        <v>1.24345E-014</v>
      </c>
      <c r="D2" s="0" t="n">
        <v>99.22481</v>
      </c>
      <c r="F2" s="0" t="s">
        <v>4</v>
      </c>
    </row>
    <row r="3" customFormat="false" ht="14.25" hidden="false" customHeight="false" outlineLevel="0" collapsed="false">
      <c r="A3" s="0" t="n">
        <f aca="false">3/24</f>
        <v>0.125</v>
      </c>
      <c r="B3" s="0" t="n">
        <v>0.0872093</v>
      </c>
      <c r="D3" s="0" t="n">
        <v>271.3178</v>
      </c>
    </row>
    <row r="4" customFormat="false" ht="14.25" hidden="false" customHeight="false" outlineLevel="0" collapsed="false">
      <c r="A4" s="0" t="n">
        <v>2.034884</v>
      </c>
      <c r="B4" s="0" t="n">
        <v>2.034884</v>
      </c>
      <c r="D4" s="0" t="n">
        <v>246.5116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8</v>
      </c>
      <c r="F1" s="2" t="s">
        <v>3</v>
      </c>
    </row>
    <row r="2" customFormat="false" ht="14.25" hidden="false" customHeight="false" outlineLevel="0" collapsed="false">
      <c r="A2" s="0" t="n">
        <f aca="false">1/24</f>
        <v>0.0416666666666667</v>
      </c>
      <c r="B2" s="0" t="n">
        <v>-3.552714E-015</v>
      </c>
      <c r="D2" s="0" t="n">
        <v>378.7013</v>
      </c>
      <c r="F2" s="0" t="s">
        <v>4</v>
      </c>
    </row>
    <row r="3" customFormat="false" ht="14.25" hidden="false" customHeight="false" outlineLevel="0" collapsed="false">
      <c r="A3" s="0" t="n">
        <f aca="false">3/24</f>
        <v>0.125</v>
      </c>
      <c r="B3" s="0" t="n">
        <v>0.1169591</v>
      </c>
      <c r="D3" s="0" t="n">
        <v>372.4675</v>
      </c>
    </row>
    <row r="4" customFormat="false" ht="14.25" hidden="false" customHeight="false" outlineLevel="0" collapsed="false">
      <c r="A4" s="0" t="n">
        <v>2.894737</v>
      </c>
      <c r="B4" s="0" t="n">
        <v>2.894737</v>
      </c>
      <c r="D4" s="0" t="n">
        <v>197.9221</v>
      </c>
    </row>
    <row r="5" customFormat="false" ht="14.25" hidden="false" customHeight="false" outlineLevel="0" collapsed="false">
      <c r="A5" s="0" t="n">
        <v>13.88889</v>
      </c>
      <c r="B5" s="0" t="n">
        <v>13.88889</v>
      </c>
      <c r="D5" s="0" t="n">
        <v>35.84415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9</v>
      </c>
      <c r="F1" s="2" t="s">
        <v>3</v>
      </c>
    </row>
    <row r="2" customFormat="false" ht="14.25" hidden="false" customHeight="false" outlineLevel="0" collapsed="false">
      <c r="A2" s="0" t="n">
        <f aca="false">1/24</f>
        <v>0.0416666666666667</v>
      </c>
      <c r="B2" s="0" t="n">
        <v>0.04069768</v>
      </c>
      <c r="D2" s="0" t="n">
        <v>360</v>
      </c>
      <c r="F2" s="0" t="s">
        <v>4</v>
      </c>
    </row>
    <row r="3" customFormat="false" ht="14.25" hidden="false" customHeight="false" outlineLevel="0" collapsed="false">
      <c r="A3" s="0" t="n">
        <f aca="false">3/24</f>
        <v>0.125</v>
      </c>
      <c r="B3" s="0" t="n">
        <v>0.1577318</v>
      </c>
      <c r="D3" s="0" t="n">
        <v>344.4156</v>
      </c>
    </row>
    <row r="4" customFormat="false" ht="14.25" hidden="false" customHeight="false" outlineLevel="0" collapsed="false">
      <c r="A4" s="0" t="n">
        <v>2.752492</v>
      </c>
      <c r="B4" s="0" t="n">
        <v>2.752492</v>
      </c>
      <c r="D4" s="0" t="n">
        <v>188.5714</v>
      </c>
    </row>
    <row r="5" customFormat="false" ht="14.25" hidden="false" customHeight="false" outlineLevel="0" collapsed="false">
      <c r="A5" s="0" t="n">
        <v>13.89376</v>
      </c>
      <c r="B5" s="0" t="n">
        <v>13.89376</v>
      </c>
      <c r="D5" s="0" t="n">
        <v>32.72727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10</v>
      </c>
      <c r="F1" s="2" t="s">
        <v>3</v>
      </c>
    </row>
    <row r="2" customFormat="false" ht="14.25" hidden="false" customHeight="false" outlineLevel="0" collapsed="false">
      <c r="A2" s="0" t="n">
        <f aca="false">1/24</f>
        <v>0.0416666666666667</v>
      </c>
      <c r="B2" s="0" t="n">
        <v>-0.02923977</v>
      </c>
      <c r="D2" s="0" t="n">
        <v>247.1503</v>
      </c>
      <c r="F2" s="0" t="s">
        <v>4</v>
      </c>
    </row>
    <row r="3" customFormat="false" ht="14.25" hidden="false" customHeight="false" outlineLevel="0" collapsed="false">
      <c r="A3" s="0" t="n">
        <f aca="false">3/24</f>
        <v>0.125</v>
      </c>
      <c r="B3" s="0" t="n">
        <v>0.05847953</v>
      </c>
      <c r="D3" s="0" t="n">
        <v>212.9534</v>
      </c>
    </row>
    <row r="4" customFormat="false" ht="14.25" hidden="false" customHeight="false" outlineLevel="0" collapsed="false">
      <c r="A4" s="0" t="n">
        <v>2.982456</v>
      </c>
      <c r="B4" s="0" t="n">
        <v>2.982456</v>
      </c>
      <c r="D4" s="0" t="n">
        <v>129.0155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11</v>
      </c>
      <c r="F1" s="2" t="s">
        <v>3</v>
      </c>
    </row>
    <row r="2" customFormat="false" ht="14.25" hidden="false" customHeight="false" outlineLevel="0" collapsed="false">
      <c r="A2" s="0" t="n">
        <f aca="false">1/24</f>
        <v>0.0416666666666667</v>
      </c>
      <c r="B2" s="0" t="n">
        <v>0.02906977</v>
      </c>
      <c r="D2" s="0" t="n">
        <v>180.3064</v>
      </c>
      <c r="F2" s="0" t="s">
        <v>4</v>
      </c>
    </row>
    <row r="3" customFormat="false" ht="14.25" hidden="false" customHeight="false" outlineLevel="0" collapsed="false">
      <c r="A3" s="0" t="n">
        <f aca="false">3/24</f>
        <v>0.125</v>
      </c>
      <c r="B3" s="0" t="n">
        <v>0.0872093</v>
      </c>
      <c r="D3" s="0" t="n">
        <v>141.4372</v>
      </c>
    </row>
    <row r="4" customFormat="false" ht="14.25" hidden="false" customHeight="false" outlineLevel="0" collapsed="false">
      <c r="A4" s="0" t="n">
        <v>2.761628</v>
      </c>
      <c r="B4" s="0" t="n">
        <v>2.761628</v>
      </c>
      <c r="D4" s="0" t="n">
        <v>128.5863</v>
      </c>
    </row>
    <row r="5" customFormat="false" ht="14.25" hidden="false" customHeight="false" outlineLevel="0" collapsed="false">
      <c r="A5" s="0" t="n">
        <v>13.86628</v>
      </c>
      <c r="B5" s="0" t="n">
        <v>13.86628</v>
      </c>
      <c r="D5" s="0" t="n">
        <v>4.062236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12</v>
      </c>
      <c r="F1" s="2" t="s">
        <v>3</v>
      </c>
    </row>
    <row r="2" customFormat="false" ht="14.25" hidden="false" customHeight="false" outlineLevel="0" collapsed="false">
      <c r="A2" s="0" t="n">
        <f aca="false">1/24</f>
        <v>0.0416666666666667</v>
      </c>
      <c r="B2" s="0" t="n">
        <v>-0.04433635</v>
      </c>
      <c r="D2" s="0" t="n">
        <v>312.4376</v>
      </c>
      <c r="F2" s="0" t="s">
        <v>4</v>
      </c>
    </row>
    <row r="3" customFormat="false" ht="14.25" hidden="false" customHeight="false" outlineLevel="0" collapsed="false">
      <c r="A3" s="0" t="n">
        <f aca="false">3/24</f>
        <v>0.125</v>
      </c>
      <c r="B3" s="0" t="n">
        <v>0.04773522</v>
      </c>
      <c r="D3" s="0" t="n">
        <v>217.6046</v>
      </c>
    </row>
    <row r="4" customFormat="false" ht="14.25" hidden="false" customHeight="false" outlineLevel="0" collapsed="false">
      <c r="A4" s="0" t="n">
        <v>2.794021</v>
      </c>
      <c r="B4" s="0" t="n">
        <v>2.794021</v>
      </c>
      <c r="D4" s="0" t="n">
        <v>99.04303</v>
      </c>
    </row>
    <row r="5" customFormat="false" ht="14.25" hidden="false" customHeight="false" outlineLevel="0" collapsed="false">
      <c r="A5" s="0" t="n">
        <v>13.76013</v>
      </c>
      <c r="B5" s="0" t="n">
        <v>13.76013</v>
      </c>
      <c r="D5" s="0" t="n">
        <v>16.50944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13</v>
      </c>
      <c r="F1" s="2" t="s">
        <v>3</v>
      </c>
    </row>
    <row r="2" customFormat="false" ht="14.25" hidden="false" customHeight="false" outlineLevel="0" collapsed="false">
      <c r="A2" s="0" t="n">
        <f aca="false">3/24</f>
        <v>0.125</v>
      </c>
      <c r="B2" s="0" t="n">
        <v>0.0466174</v>
      </c>
      <c r="D2" s="0" t="n">
        <v>244.9612</v>
      </c>
      <c r="F2" s="0" t="s">
        <v>4</v>
      </c>
    </row>
    <row r="3" customFormat="false" ht="14.25" hidden="false" customHeight="false" outlineLevel="0" collapsed="false">
      <c r="A3" s="0" t="n">
        <f aca="false">1/24</f>
        <v>0.0416666666666667</v>
      </c>
      <c r="B3" s="0" t="n">
        <v>-0.02145761</v>
      </c>
      <c r="D3" s="0" t="n">
        <v>441.8605</v>
      </c>
    </row>
    <row r="4" customFormat="false" ht="14.25" hidden="false" customHeight="false" outlineLevel="0" collapsed="false">
      <c r="A4" s="0" t="n">
        <v>1.939193</v>
      </c>
      <c r="B4" s="0" t="n">
        <v>1.939193</v>
      </c>
      <c r="D4" s="0" t="n">
        <v>409.3023</v>
      </c>
    </row>
    <row r="5" customFormat="false" ht="14.25" hidden="false" customHeight="false" outlineLevel="0" collapsed="false">
      <c r="A5" s="0" t="n">
        <v>13.88768</v>
      </c>
      <c r="B5" s="0" t="n">
        <v>13.88768</v>
      </c>
      <c r="D5" s="0" t="n">
        <v>26.35659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14</v>
      </c>
      <c r="F1" s="2" t="s">
        <v>3</v>
      </c>
    </row>
    <row r="2" customFormat="false" ht="14.25" hidden="false" customHeight="false" outlineLevel="0" collapsed="false">
      <c r="A2" s="0" t="n">
        <f aca="false">1/24</f>
        <v>0.0416666666666667</v>
      </c>
      <c r="B2" s="0" t="n">
        <v>-3.552714E-015</v>
      </c>
      <c r="D2" s="0" t="n">
        <v>625.0652</v>
      </c>
      <c r="F2" s="0" t="s">
        <v>4</v>
      </c>
    </row>
    <row r="3" customFormat="false" ht="14.25" hidden="false" customHeight="false" outlineLevel="0" collapsed="false">
      <c r="A3" s="0" t="n">
        <f aca="false">3/24</f>
        <v>0.125</v>
      </c>
      <c r="B3" s="0" t="n">
        <v>0.1453488</v>
      </c>
      <c r="D3" s="0" t="n">
        <v>495.0392</v>
      </c>
    </row>
    <row r="4" customFormat="false" ht="14.25" hidden="false" customHeight="false" outlineLevel="0" collapsed="false">
      <c r="A4" s="0" t="n">
        <v>3.837209</v>
      </c>
      <c r="B4" s="0" t="n">
        <v>3.837209</v>
      </c>
      <c r="D4" s="0" t="n">
        <v>136.2924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15</v>
      </c>
      <c r="F1" s="2" t="s">
        <v>3</v>
      </c>
    </row>
    <row r="2" customFormat="false" ht="14.25" hidden="false" customHeight="false" outlineLevel="0" collapsed="false">
      <c r="A2" s="0" t="n">
        <f aca="false">1/24</f>
        <v>0.0416666666666667</v>
      </c>
      <c r="B2" s="0" t="n">
        <v>-0.02923977</v>
      </c>
      <c r="D2" s="0" t="n">
        <v>522.0779</v>
      </c>
      <c r="F2" s="0" t="s">
        <v>4</v>
      </c>
    </row>
    <row r="3" customFormat="false" ht="14.25" hidden="false" customHeight="false" outlineLevel="0" collapsed="false">
      <c r="A3" s="0" t="n">
        <f aca="false">3/24</f>
        <v>0.125</v>
      </c>
      <c r="B3" s="0" t="n">
        <v>0.05847953</v>
      </c>
      <c r="D3" s="0" t="n">
        <v>480</v>
      </c>
    </row>
    <row r="4" customFormat="false" ht="14.25" hidden="false" customHeight="false" outlineLevel="0" collapsed="false">
      <c r="A4" s="0" t="n">
        <v>2.807018</v>
      </c>
      <c r="B4" s="0" t="n">
        <v>2.807018</v>
      </c>
      <c r="D4" s="0" t="n">
        <v>179.2208</v>
      </c>
    </row>
    <row r="5" customFormat="false" ht="14.25" hidden="false" customHeight="false" outlineLevel="0" collapsed="false">
      <c r="A5" s="0" t="n">
        <v>13.94737</v>
      </c>
      <c r="B5" s="0" t="n">
        <v>13.94737</v>
      </c>
      <c r="D5" s="0" t="n">
        <v>23.37662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16</v>
      </c>
      <c r="F1" s="2" t="s">
        <v>3</v>
      </c>
    </row>
    <row r="2" customFormat="false" ht="14.25" hidden="false" customHeight="false" outlineLevel="0" collapsed="false">
      <c r="A2" s="0" t="n">
        <f aca="false">1/24</f>
        <v>0.0416666666666667</v>
      </c>
      <c r="B2" s="0" t="n">
        <v>-0.02559688</v>
      </c>
      <c r="D2" s="0" t="n">
        <v>526.7612</v>
      </c>
      <c r="F2" s="0" t="s">
        <v>4</v>
      </c>
    </row>
    <row r="3" customFormat="false" ht="14.25" hidden="false" customHeight="false" outlineLevel="0" collapsed="false">
      <c r="A3" s="0" t="n">
        <f aca="false">3/24</f>
        <v>0.125</v>
      </c>
      <c r="B3" s="0" t="n">
        <v>0.1191501</v>
      </c>
      <c r="D3" s="0" t="n">
        <v>539.1836</v>
      </c>
    </row>
    <row r="4" customFormat="false" ht="14.25" hidden="false" customHeight="false" outlineLevel="0" collapsed="false">
      <c r="A4" s="0" t="n">
        <v>1.962956</v>
      </c>
      <c r="B4" s="0" t="n">
        <v>1.962956</v>
      </c>
      <c r="D4" s="0" t="n">
        <v>283.0245</v>
      </c>
    </row>
    <row r="5" customFormat="false" ht="14.25" hidden="false" customHeight="false" outlineLevel="0" collapsed="false">
      <c r="A5" s="0" t="n">
        <v>13.89314</v>
      </c>
      <c r="B5" s="0" t="n">
        <v>13.89314</v>
      </c>
      <c r="D5" s="0" t="n">
        <v>43.98133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17</v>
      </c>
      <c r="F1" s="2" t="s">
        <v>3</v>
      </c>
    </row>
    <row r="2" customFormat="false" ht="14.25" hidden="false" customHeight="false" outlineLevel="0" collapsed="false">
      <c r="A2" s="0" t="n">
        <f aca="false">1/24</f>
        <v>0.0416666666666667</v>
      </c>
      <c r="B2" s="0" t="n">
        <v>-0.02906977</v>
      </c>
      <c r="D2" s="0" t="n">
        <v>274.2903</v>
      </c>
      <c r="F2" s="0" t="s">
        <v>4</v>
      </c>
    </row>
    <row r="3" customFormat="false" ht="14.25" hidden="false" customHeight="false" outlineLevel="0" collapsed="false">
      <c r="A3" s="0" t="n">
        <f aca="false">3/24</f>
        <v>0.125</v>
      </c>
      <c r="B3" s="0" t="n">
        <v>0.1162791</v>
      </c>
      <c r="D3" s="0" t="n">
        <v>283.6183</v>
      </c>
    </row>
    <row r="4" customFormat="false" ht="14.25" hidden="false" customHeight="false" outlineLevel="0" collapsed="false">
      <c r="A4" s="0" t="n">
        <v>1.976744</v>
      </c>
      <c r="B4" s="0" t="n">
        <v>1.976744</v>
      </c>
      <c r="D4" s="0" t="n">
        <v>146.1854</v>
      </c>
    </row>
    <row r="5" customFormat="false" ht="14.25" hidden="false" customHeight="false" outlineLevel="0" collapsed="false">
      <c r="A5" s="0" t="n">
        <v>13.83721</v>
      </c>
      <c r="B5" s="0" t="n">
        <v>13.83721</v>
      </c>
      <c r="D5" s="0" t="n">
        <v>38.36303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18</v>
      </c>
      <c r="F1" s="2" t="s">
        <v>3</v>
      </c>
    </row>
    <row r="2" customFormat="false" ht="14.25" hidden="false" customHeight="false" outlineLevel="0" collapsed="false">
      <c r="A2" s="0" t="n">
        <f aca="false">1/24</f>
        <v>0.0416666666666667</v>
      </c>
      <c r="B2" s="0" t="n">
        <v>-0.01753826</v>
      </c>
      <c r="D2" s="0" t="n">
        <v>359.375</v>
      </c>
      <c r="F2" s="0" t="s">
        <v>4</v>
      </c>
    </row>
    <row r="3" customFormat="false" ht="14.25" hidden="false" customHeight="false" outlineLevel="0" collapsed="false">
      <c r="A3" s="0" t="n">
        <f aca="false">3/24</f>
        <v>0.125</v>
      </c>
      <c r="B3" s="0" t="n">
        <v>0.0438077</v>
      </c>
      <c r="D3" s="0" t="n">
        <v>296.875</v>
      </c>
    </row>
    <row r="4" customFormat="false" ht="14.25" hidden="false" customHeight="false" outlineLevel="0" collapsed="false">
      <c r="A4" s="0" t="n">
        <v>1.973093</v>
      </c>
      <c r="B4" s="0" t="n">
        <v>1.973093</v>
      </c>
      <c r="D4" s="0" t="n">
        <v>192.1875</v>
      </c>
    </row>
    <row r="5" customFormat="false" ht="14.25" hidden="false" customHeight="false" outlineLevel="0" collapsed="false">
      <c r="A5" s="0" t="n">
        <v>13.86973</v>
      </c>
      <c r="B5" s="0" t="n">
        <v>13.86973</v>
      </c>
      <c r="D5" s="0" t="n">
        <v>159.375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19</v>
      </c>
      <c r="F1" s="2" t="s">
        <v>3</v>
      </c>
    </row>
    <row r="2" customFormat="false" ht="14.25" hidden="false" customHeight="false" outlineLevel="0" collapsed="false">
      <c r="A2" s="0" t="n">
        <f aca="false">1/24</f>
        <v>0.0416666666666667</v>
      </c>
      <c r="B2" s="0" t="n">
        <v>8.881784E-015</v>
      </c>
      <c r="D2" s="0" t="n">
        <v>352.8497</v>
      </c>
      <c r="F2" s="0" t="s">
        <v>4</v>
      </c>
    </row>
    <row r="3" customFormat="false" ht="14.25" hidden="false" customHeight="false" outlineLevel="0" collapsed="false">
      <c r="A3" s="0" t="n">
        <f aca="false">3/24</f>
        <v>0.125</v>
      </c>
      <c r="B3" s="0" t="n">
        <v>0.1162791</v>
      </c>
      <c r="D3" s="0" t="n">
        <v>268.9119</v>
      </c>
    </row>
    <row r="4" customFormat="false" ht="14.25" hidden="false" customHeight="false" outlineLevel="0" collapsed="false">
      <c r="A4" s="0" t="n">
        <v>2.063953</v>
      </c>
      <c r="B4" s="0" t="n">
        <v>2.063953</v>
      </c>
      <c r="D4" s="0" t="n">
        <v>156.9948</v>
      </c>
    </row>
    <row r="5" customFormat="false" ht="14.25" hidden="false" customHeight="false" outlineLevel="0" collapsed="false">
      <c r="A5" s="0" t="n">
        <v>13.83721</v>
      </c>
      <c r="B5" s="0" t="n">
        <v>13.83721</v>
      </c>
      <c r="D5" s="0" t="n">
        <v>34.19689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20</v>
      </c>
      <c r="F1" s="2" t="s">
        <v>3</v>
      </c>
    </row>
    <row r="2" customFormat="false" ht="14.25" hidden="false" customHeight="false" outlineLevel="0" collapsed="false">
      <c r="A2" s="0" t="n">
        <f aca="false">1/24</f>
        <v>0.0416666666666667</v>
      </c>
      <c r="B2" s="0" t="n">
        <v>-0.02915452</v>
      </c>
      <c r="D2" s="0" t="n">
        <v>278.961</v>
      </c>
      <c r="F2" s="0" t="s">
        <v>4</v>
      </c>
    </row>
    <row r="3" customFormat="false" ht="14.25" hidden="false" customHeight="false" outlineLevel="0" collapsed="false">
      <c r="A3" s="0" t="n">
        <f aca="false">3/24</f>
        <v>0.125</v>
      </c>
      <c r="B3" s="0" t="n">
        <v>0.08746356</v>
      </c>
      <c r="D3" s="0" t="n">
        <v>274.2857</v>
      </c>
    </row>
    <row r="4" customFormat="false" ht="14.25" hidden="false" customHeight="false" outlineLevel="0" collapsed="false">
      <c r="A4" s="0" t="n">
        <v>13.81924</v>
      </c>
      <c r="B4" s="0" t="n">
        <v>13.81924</v>
      </c>
      <c r="D4" s="0" t="n">
        <v>23.37662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21</v>
      </c>
      <c r="F1" s="2" t="s">
        <v>3</v>
      </c>
    </row>
    <row r="2" customFormat="false" ht="14.25" hidden="false" customHeight="false" outlineLevel="0" collapsed="false">
      <c r="A2" s="0" t="n">
        <f aca="false">1/24</f>
        <v>0.0416666666666667</v>
      </c>
      <c r="B2" s="0" t="n">
        <v>-0.02915452</v>
      </c>
      <c r="D2" s="0" t="n">
        <v>147.6684</v>
      </c>
      <c r="F2" s="0" t="s">
        <v>4</v>
      </c>
    </row>
    <row r="3" customFormat="false" ht="14.25" hidden="false" customHeight="false" outlineLevel="0" collapsed="false">
      <c r="A3" s="0" t="n">
        <f aca="false">3/24</f>
        <v>0.125</v>
      </c>
      <c r="B3" s="0" t="n">
        <v>0.08746356</v>
      </c>
      <c r="D3" s="0" t="n">
        <v>150.7772</v>
      </c>
    </row>
    <row r="4" customFormat="false" ht="14.25" hidden="false" customHeight="false" outlineLevel="0" collapsed="false">
      <c r="A4" s="0" t="n">
        <v>1.982507</v>
      </c>
      <c r="B4" s="0" t="n">
        <v>1.982507</v>
      </c>
      <c r="D4" s="0" t="n">
        <v>60.62176</v>
      </c>
    </row>
    <row r="5" customFormat="false" ht="14.25" hidden="false" customHeight="false" outlineLevel="0" collapsed="false">
      <c r="A5" s="0" t="n">
        <v>13.87755</v>
      </c>
      <c r="B5" s="0" t="n">
        <v>13.87755</v>
      </c>
      <c r="D5" s="0" t="n">
        <v>9.326425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22</v>
      </c>
      <c r="F1" s="2" t="s">
        <v>3</v>
      </c>
    </row>
    <row r="2" customFormat="false" ht="14.25" hidden="false" customHeight="false" outlineLevel="0" collapsed="false">
      <c r="A2" s="0" t="n">
        <f aca="false">1/24</f>
        <v>0.0416666666666667</v>
      </c>
      <c r="B2" s="0" t="n">
        <v>0.006702615</v>
      </c>
      <c r="D2" s="0" t="n">
        <v>138.342</v>
      </c>
      <c r="F2" s="0" t="s">
        <v>4</v>
      </c>
    </row>
    <row r="3" customFormat="false" ht="14.25" hidden="false" customHeight="false" outlineLevel="0" collapsed="false">
      <c r="A3" s="0" t="n">
        <f aca="false">3/24</f>
        <v>0.125</v>
      </c>
      <c r="B3" s="0" t="n">
        <v>0.09880708</v>
      </c>
      <c r="D3" s="0" t="n">
        <v>239.3782</v>
      </c>
    </row>
    <row r="4" customFormat="false" ht="14.25" hidden="false" customHeight="false" outlineLevel="0" collapsed="false">
      <c r="A4" s="0" t="n">
        <v>2.018541</v>
      </c>
      <c r="B4" s="0" t="n">
        <v>2.018541</v>
      </c>
      <c r="D4" s="0" t="n">
        <v>262.6943</v>
      </c>
    </row>
    <row r="5" customFormat="false" ht="14.25" hidden="false" customHeight="false" outlineLevel="0" collapsed="false">
      <c r="A5" s="0" t="n">
        <v>13.86809</v>
      </c>
      <c r="B5" s="0" t="n">
        <v>13.86809</v>
      </c>
      <c r="D5" s="0" t="n">
        <v>37.3057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23</v>
      </c>
      <c r="F1" s="2" t="s">
        <v>3</v>
      </c>
    </row>
    <row r="2" customFormat="false" ht="14.25" hidden="false" customHeight="false" outlineLevel="0" collapsed="false">
      <c r="A2" s="0" t="n">
        <f aca="false">1/24</f>
        <v>0.0416666666666667</v>
      </c>
      <c r="B2" s="0" t="n">
        <v>-0.05847953</v>
      </c>
      <c r="D2" s="0" t="n">
        <v>121.2435</v>
      </c>
      <c r="F2" s="0" t="s">
        <v>4</v>
      </c>
    </row>
    <row r="3" customFormat="false" ht="14.25" hidden="false" customHeight="false" outlineLevel="0" collapsed="false">
      <c r="A3" s="0" t="n">
        <f aca="false">3/24</f>
        <v>0.125</v>
      </c>
      <c r="B3" s="0" t="n">
        <v>0.0877193</v>
      </c>
      <c r="D3" s="0" t="n">
        <v>122.7979</v>
      </c>
    </row>
    <row r="4" customFormat="false" ht="14.25" hidden="false" customHeight="false" outlineLevel="0" collapsed="false">
      <c r="A4" s="0" t="n">
        <v>1.988304</v>
      </c>
      <c r="B4" s="0" t="n">
        <v>1.988304</v>
      </c>
      <c r="D4" s="0" t="n">
        <v>73.05699</v>
      </c>
    </row>
    <row r="5" customFormat="false" ht="14.25" hidden="false" customHeight="false" outlineLevel="0" collapsed="false">
      <c r="A5" s="0" t="n">
        <v>13.91813</v>
      </c>
      <c r="B5" s="0" t="n">
        <v>13.91813</v>
      </c>
      <c r="D5" s="0" t="n">
        <v>6.217617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D1" s="1" t="s">
        <v>24</v>
      </c>
      <c r="F1" s="2" t="s">
        <v>3</v>
      </c>
    </row>
    <row r="2" customFormat="false" ht="14.25" hidden="false" customHeight="false" outlineLevel="0" collapsed="false">
      <c r="A2" s="0" t="n">
        <f aca="false">1/24</f>
        <v>0.0416666666666667</v>
      </c>
      <c r="B2" s="0" t="n">
        <v>3.552714E-015</v>
      </c>
      <c r="D2" s="0" t="n">
        <v>511.1688</v>
      </c>
      <c r="F2" s="0" t="s">
        <v>4</v>
      </c>
    </row>
    <row r="3" customFormat="false" ht="14.25" hidden="false" customHeight="false" outlineLevel="0" collapsed="false">
      <c r="A3" s="0" t="n">
        <f aca="false">3/24</f>
        <v>0.125</v>
      </c>
      <c r="B3" s="0" t="n">
        <v>0.1162791</v>
      </c>
      <c r="D3" s="0" t="n">
        <v>455.0649</v>
      </c>
    </row>
    <row r="4" customFormat="false" ht="14.25" hidden="false" customHeight="false" outlineLevel="0" collapsed="false">
      <c r="A4" s="0" t="n">
        <v>2.005814</v>
      </c>
      <c r="B4" s="0" t="n">
        <v>2.005814</v>
      </c>
      <c r="D4" s="0" t="n">
        <v>238.4416</v>
      </c>
    </row>
    <row r="5" customFormat="false" ht="14.25" hidden="false" customHeight="false" outlineLevel="0" collapsed="false">
      <c r="A5" s="0" t="n">
        <v>13.83721</v>
      </c>
      <c r="B5" s="0" t="n">
        <v>13.83721</v>
      </c>
      <c r="D5" s="0" t="n">
        <v>34.28571</v>
      </c>
    </row>
  </sheetData>
  <hyperlinks>
    <hyperlink ref="F1" r:id="rId1" display="Vugmeyster2022_avelumab_SUPL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2025-11-26T14:15:22Z</dcterms:created>
  <dc:creator>Christoph Niederalt</dc:creator>
  <dc:description/>
  <dc:language>en-US</dc:language>
  <cp:lastModifiedBy/>
  <dcterms:modified xsi:type="dcterms:W3CDTF">2026-08-07T08:34:43Z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ActionId">
    <vt:lpwstr>9d2726c5-7315-46b7-933f-15e3e2cea50b</vt:lpwstr>
  </property>
  <property fmtid="{D5CDD505-2E9C-101B-9397-08002B2CF9AE}" pid="3" name="MSIP_Label_7f850223-87a8-40c3-9eb2-432606efca2a_ContentBits">
    <vt:lpwstr>0</vt:lpwstr>
  </property>
  <property fmtid="{D5CDD505-2E9C-101B-9397-08002B2CF9AE}" pid="4" name="MSIP_Label_7f850223-87a8-40c3-9eb2-432606efca2a_Enabled">
    <vt:lpwstr>true</vt:lpwstr>
  </property>
  <property fmtid="{D5CDD505-2E9C-101B-9397-08002B2CF9AE}" pid="5" name="MSIP_Label_7f850223-87a8-40c3-9eb2-432606efca2a_Method">
    <vt:lpwstr>Standard</vt:lpwstr>
  </property>
  <property fmtid="{D5CDD505-2E9C-101B-9397-08002B2CF9AE}" pid="6" name="MSIP_Label_7f850223-87a8-40c3-9eb2-432606efca2a_Name">
    <vt:lpwstr>7f850223-87a8-40c3-9eb2-432606efca2a</vt:lpwstr>
  </property>
  <property fmtid="{D5CDD505-2E9C-101B-9397-08002B2CF9AE}" pid="7" name="MSIP_Label_7f850223-87a8-40c3-9eb2-432606efca2a_SetDate">
    <vt:lpwstr>2025-11-26T15:31:24Z</vt:lpwstr>
  </property>
  <property fmtid="{D5CDD505-2E9C-101B-9397-08002B2CF9AE}" pid="8" name="MSIP_Label_7f850223-87a8-40c3-9eb2-432606efca2a_SiteId">
    <vt:lpwstr>fcb2b37b-5da0-466b-9b83-0014b67a7c78</vt:lpwstr>
  </property>
  <property fmtid="{D5CDD505-2E9C-101B-9397-08002B2CF9AE}" pid="9" name="MSIP_Label_7f850223-87a8-40c3-9eb2-432606efca2a_Tag">
    <vt:lpwstr>10, 3, 0, 1</vt:lpwstr>
  </property>
</Properties>
</file>