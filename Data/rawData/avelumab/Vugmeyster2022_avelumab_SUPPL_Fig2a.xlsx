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g2a" sheetId="1" state="visible" r:id="rId3"/>
    <sheet name="DataLo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<sst xmlns="http://schemas.openxmlformats.org/spreadsheetml/2006/main" count="22" uniqueCount="15">
  <si>
    <t xml:space="preserve">time [weeks]</t>
  </si>
  <si>
    <t xml:space="preserve">time_scanned [weeks]</t>
  </si>
  <si>
    <t xml:space="preserve">11p3y38p5kg (conc) [µg/ml]</t>
  </si>
  <si>
    <t xml:space="preserve">14p7y60p8kg (conc) [µg/ml]</t>
  </si>
  <si>
    <t xml:space="preserve">15p4y30p7kg (conc) [µg/ml]</t>
  </si>
  <si>
    <t xml:space="preserve">15p9y65p6kg (conc) [µg/ml]</t>
  </si>
  <si>
    <t xml:space="preserve">8p5y18p5kg (conc) [µg/ml]</t>
  </si>
  <si>
    <t xml:space="preserve">9p3y26p4kg (conc) [µg/ml]</t>
  </si>
  <si>
    <t xml:space="preserve">Vugmeyster2022_avelumab_SUPL.pdf</t>
  </si>
  <si>
    <t xml:space="preserve">Vugmeyster et al., Clinical Pharmacokinetics (2022) 61:985–995; https://doi.org/10.1007/s40262-022-01111-8</t>
  </si>
  <si>
    <t xml:space="preserve">conc. [µg/ml]</t>
  </si>
  <si>
    <t xml:space="preserve">age [yrs]</t>
  </si>
  <si>
    <t xml:space="preserve">weight [kg]</t>
  </si>
  <si>
    <t xml:space="preserve">ID</t>
  </si>
  <si>
    <t xml:space="preserve">time [weeks]   adjusted to q2w scheme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</si>
</sst>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FF00FF"/>
      <name val="Calibri"/>
      <family val="0"/>
      <charset val="1"/>
    </font>
    <font>
      <sz val="11"/>
      <color rgb="FF8A2BE2"/>
      <name val="Calibri"/>
      <family val="0"/>
      <charset val="1"/>
    </font>
    <font>
      <sz val="11"/>
      <color rgb="FFFF8C00"/>
      <name val="Calibri"/>
      <family val="0"/>
      <charset val="1"/>
    </font>
    <font>
      <sz val="11"/>
      <color rgb="FF00CED1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ED1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../ZFNTC/Downloads/Vugmeyster2022_avelumab_SUPL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O1" activeCellId="0" sqref="O1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5" min="5" style="1" width="25.92"/>
    <col collapsed="false" customWidth="true" hidden="false" outlineLevel="0" max="6" min="6" style="1" width="11.82"/>
    <col collapsed="false" customWidth="true" hidden="false" outlineLevel="0" max="7" min="7" style="1" width="25.92"/>
    <col collapsed="false" customWidth="true" hidden="false" outlineLevel="0" max="8" min="8" style="1" width="12.42"/>
    <col collapsed="false" customWidth="true" hidden="false" outlineLevel="0" max="9" min="9" style="1" width="25.92"/>
    <col collapsed="false" customWidth="true" hidden="false" outlineLevel="0" max="10" min="10" style="1" width="12.42"/>
    <col collapsed="false" customWidth="true" hidden="false" outlineLevel="0" max="11" min="11" style="1" width="25.92"/>
    <col collapsed="false" customWidth="true" hidden="false" outlineLevel="0" max="12" min="12" style="1" width="22.16"/>
    <col collapsed="false" customWidth="true" hidden="false" outlineLevel="0" max="13" min="13" style="1" width="24.8"/>
    <col collapsed="false" customWidth="true" hidden="false" outlineLevel="0" max="14" min="14" style="1" width="22.16"/>
    <col collapsed="false" customWidth="true" hidden="false" outlineLevel="0" max="15" min="15" style="1" width="24.8"/>
  </cols>
  <sheetData>
    <row r="1" customFormat="false" ht="14.25" hidden="false" customHeight="false" outlineLevel="0" collapsed="false">
      <c r="A1" s="1" t="s">
        <v>0</v>
      </c>
      <c r="B1" s="1" t="s">
        <v>1</v>
      </c>
      <c r="D1" s="1" t="s">
        <v>0</v>
      </c>
      <c r="E1" s="2" t="s">
        <v>2</v>
      </c>
      <c r="F1" s="1" t="s">
        <v>0</v>
      </c>
      <c r="G1" s="3" t="s">
        <v>3</v>
      </c>
      <c r="H1" s="1" t="s">
        <v>0</v>
      </c>
      <c r="I1" s="4" t="s">
        <v>4</v>
      </c>
      <c r="J1" s="1" t="s">
        <v>0</v>
      </c>
      <c r="K1" s="5" t="s">
        <v>5</v>
      </c>
      <c r="L1" s="1" t="s">
        <v>0</v>
      </c>
      <c r="M1" s="6" t="s">
        <v>6</v>
      </c>
      <c r="N1" s="1" t="s">
        <v>0</v>
      </c>
      <c r="O1" s="7" t="s">
        <v>7</v>
      </c>
      <c r="Q1" s="8" t="s">
        <v>8</v>
      </c>
    </row>
    <row r="2" customFormat="false" ht="14.25" hidden="false" customHeight="false" outlineLevel="0" collapsed="false">
      <c r="D2" s="1" t="n">
        <f aca="false">1/24/7</f>
        <v>0.00595238095238095</v>
      </c>
      <c r="E2" s="1" t="n">
        <v>162.6396</v>
      </c>
      <c r="F2" s="1" t="n">
        <f aca="false">1/24/7</f>
        <v>0.00595238095238095</v>
      </c>
      <c r="G2" s="1" t="n">
        <v>243.8799</v>
      </c>
      <c r="H2" s="1" t="n">
        <v>0.0156775</v>
      </c>
      <c r="I2" s="1" t="n">
        <v>182.1111</v>
      </c>
      <c r="J2" s="1" t="n">
        <v>0.0156775</v>
      </c>
      <c r="K2" s="1" t="n">
        <v>314.527</v>
      </c>
      <c r="L2" s="1" t="n">
        <f aca="false">1/24/7</f>
        <v>0.00595238095238095</v>
      </c>
      <c r="M2" s="1" t="n">
        <v>149.4188</v>
      </c>
      <c r="N2" s="1" t="n">
        <f aca="false">1/24/7</f>
        <v>0.00595238095238095</v>
      </c>
      <c r="O2" s="1" t="n">
        <v>124.9286</v>
      </c>
      <c r="Q2" s="1" t="s">
        <v>9</v>
      </c>
    </row>
    <row r="3" customFormat="false" ht="14.25" hidden="false" customHeight="false" outlineLevel="0" collapsed="false">
      <c r="D3" s="1" t="n">
        <v>0.0156775</v>
      </c>
      <c r="E3" s="1" t="n">
        <v>164.1826</v>
      </c>
      <c r="F3" s="1" t="n">
        <v>0.0156775</v>
      </c>
      <c r="G3" s="1" t="n">
        <v>213.7451</v>
      </c>
      <c r="H3" s="1" t="n">
        <v>0.03135499</v>
      </c>
      <c r="I3" s="1" t="n">
        <v>142.5462</v>
      </c>
      <c r="J3" s="1" t="n">
        <v>0.03135499</v>
      </c>
      <c r="K3" s="1" t="n">
        <v>217.8132</v>
      </c>
      <c r="L3" s="1" t="n">
        <v>0.4232923</v>
      </c>
      <c r="M3" s="1" t="n">
        <v>63.41321</v>
      </c>
      <c r="N3" s="1" t="n">
        <v>0.4232923</v>
      </c>
      <c r="O3" s="1" t="n">
        <v>75.13309</v>
      </c>
    </row>
    <row r="4" customFormat="false" ht="14.25" hidden="false" customHeight="false" outlineLevel="0" collapsed="false">
      <c r="D4" s="1" t="n">
        <v>0.4076148</v>
      </c>
      <c r="E4" s="1" t="n">
        <v>91.57003</v>
      </c>
      <c r="F4" s="1" t="n">
        <v>0.4232923</v>
      </c>
      <c r="G4" s="1" t="n">
        <v>128.5467</v>
      </c>
      <c r="H4" s="1" t="n">
        <v>1.991041</v>
      </c>
      <c r="I4" s="1" t="n">
        <v>6.678978</v>
      </c>
      <c r="J4" s="1" t="n">
        <v>0.4232923</v>
      </c>
      <c r="K4" s="1" t="n">
        <v>99.67442</v>
      </c>
      <c r="L4" s="1" t="n">
        <v>1.991041</v>
      </c>
      <c r="M4" s="1" t="n">
        <v>11.64456</v>
      </c>
      <c r="N4" s="1" t="n">
        <v>1.991041</v>
      </c>
      <c r="O4" s="1" t="n">
        <v>8.217288</v>
      </c>
    </row>
    <row r="5" customFormat="false" ht="14.25" hidden="false" customHeight="false" outlineLevel="0" collapsed="false">
      <c r="D5" s="1" t="n">
        <v>1.991041</v>
      </c>
      <c r="E5" s="1" t="n">
        <v>8.860587</v>
      </c>
      <c r="F5" s="1" t="n">
        <v>1.991041</v>
      </c>
      <c r="G5" s="1" t="n">
        <v>15.59435</v>
      </c>
      <c r="H5" s="1" t="n">
        <v>3.99776</v>
      </c>
      <c r="I5" s="1" t="n">
        <v>12.33844</v>
      </c>
      <c r="J5" s="1" t="n">
        <v>1.991041</v>
      </c>
      <c r="K5" s="1" t="n">
        <v>20.8839</v>
      </c>
      <c r="L5" s="1" t="n">
        <v>4.013438</v>
      </c>
      <c r="M5" s="1" t="n">
        <v>7.418402</v>
      </c>
    </row>
    <row r="6" customFormat="false" ht="14.25" hidden="false" customHeight="false" outlineLevel="0" collapsed="false">
      <c r="D6" s="1" t="n">
        <v>3.99776</v>
      </c>
      <c r="E6" s="1" t="n">
        <v>10.2194</v>
      </c>
      <c r="F6" s="1" t="n">
        <v>3.982083</v>
      </c>
      <c r="G6" s="1" t="n">
        <v>20.9119</v>
      </c>
      <c r="H6" s="1" t="n">
        <v>3.997761</v>
      </c>
      <c r="I6" s="1" t="n">
        <v>138.9439</v>
      </c>
      <c r="J6" s="1" t="n">
        <v>3.982083</v>
      </c>
      <c r="K6" s="1" t="n">
        <v>6.815151</v>
      </c>
      <c r="L6" s="1" t="n">
        <v>3.997761</v>
      </c>
      <c r="M6" s="1" t="n">
        <v>96.21912</v>
      </c>
    </row>
    <row r="7" customFormat="false" ht="14.25" hidden="false" customHeight="false" outlineLevel="0" collapsed="false">
      <c r="D7" s="1" t="n">
        <v>3.997761</v>
      </c>
      <c r="E7" s="1" t="n">
        <v>167.7547</v>
      </c>
      <c r="F7" s="1" t="n">
        <v>3.997761</v>
      </c>
      <c r="G7" s="1" t="n">
        <v>226.783</v>
      </c>
      <c r="H7" s="1" t="n">
        <v>7.979843</v>
      </c>
      <c r="I7" s="1" t="n">
        <v>11.15359</v>
      </c>
    </row>
    <row r="8" customFormat="false" ht="14.25" hidden="false" customHeight="false" outlineLevel="0" collapsed="false">
      <c r="F8" s="1" t="n">
        <v>7.995521</v>
      </c>
      <c r="G8" s="1" t="n">
        <v>11.25929</v>
      </c>
      <c r="H8" s="1" t="n">
        <v>11.99328</v>
      </c>
      <c r="I8" s="1" t="n">
        <v>9.894527</v>
      </c>
    </row>
    <row r="9" customFormat="false" ht="14.25" hidden="false" customHeight="false" outlineLevel="0" collapsed="false">
      <c r="F9" s="1" t="n">
        <v>11.99328</v>
      </c>
      <c r="G9" s="1" t="n">
        <v>16.30263</v>
      </c>
      <c r="H9" s="1" t="n">
        <v>12.00896</v>
      </c>
      <c r="I9" s="1" t="n">
        <v>127.1345</v>
      </c>
    </row>
    <row r="10" customFormat="false" ht="14.25" hidden="false" customHeight="false" outlineLevel="0" collapsed="false">
      <c r="F10" s="1" t="n">
        <v>11.99328</v>
      </c>
      <c r="G10" s="1" t="n">
        <v>157.8953</v>
      </c>
    </row>
  </sheetData>
  <hyperlinks>
    <hyperlink ref="Q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H33" activeCellId="0" sqref="H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51"/>
    <col collapsed="false" customWidth="true" hidden="false" outlineLevel="0" max="2" min="2" style="1" width="12.66"/>
    <col collapsed="false" customWidth="true" hidden="false" outlineLevel="0" max="6" min="6" style="1" width="13.63"/>
  </cols>
  <sheetData>
    <row r="1" customFormat="false" ht="13.8" hidden="false" customHeight="false" outlineLevel="0" collapsed="false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customFormat="false" ht="13.8" hidden="false" customHeight="false" outlineLevel="0" collapsed="false">
      <c r="A2" s="1" t="n">
        <f aca="false">1/24/7</f>
        <v>0.00595238095238095</v>
      </c>
      <c r="B2" s="1" t="n">
        <v>162.6396</v>
      </c>
      <c r="C2" s="2" t="n">
        <v>11.3</v>
      </c>
      <c r="D2" s="2" t="n">
        <v>38.5</v>
      </c>
      <c r="E2" s="1" t="n">
        <v>1</v>
      </c>
      <c r="F2" s="1" t="n">
        <f aca="false">A2</f>
        <v>0.00595238095238095</v>
      </c>
    </row>
    <row r="3" customFormat="false" ht="13.8" hidden="false" customHeight="false" outlineLevel="0" collapsed="false">
      <c r="A3" s="1" t="n">
        <v>0.0156775</v>
      </c>
      <c r="B3" s="1" t="n">
        <v>164.1826</v>
      </c>
      <c r="C3" s="2" t="n">
        <v>11.3</v>
      </c>
      <c r="D3" s="2" t="n">
        <v>38.5</v>
      </c>
      <c r="E3" s="1" t="n">
        <v>1</v>
      </c>
      <c r="F3" s="1" t="n">
        <f aca="false">A3</f>
        <v>0.0156775</v>
      </c>
    </row>
    <row r="4" customFormat="false" ht="13.8" hidden="false" customHeight="false" outlineLevel="0" collapsed="false">
      <c r="A4" s="1" t="n">
        <v>0.4076148</v>
      </c>
      <c r="B4" s="1" t="n">
        <v>91.57003</v>
      </c>
      <c r="C4" s="2" t="n">
        <v>11.3</v>
      </c>
      <c r="D4" s="2" t="n">
        <v>38.5</v>
      </c>
      <c r="E4" s="1" t="n">
        <v>1</v>
      </c>
      <c r="F4" s="1" t="n">
        <f aca="false">A4</f>
        <v>0.4076148</v>
      </c>
    </row>
    <row r="5" customFormat="false" ht="13.8" hidden="false" customHeight="false" outlineLevel="0" collapsed="false">
      <c r="A5" s="1" t="n">
        <v>1.991041</v>
      </c>
      <c r="B5" s="1" t="n">
        <v>8.860587</v>
      </c>
      <c r="C5" s="2" t="n">
        <v>11.3</v>
      </c>
      <c r="D5" s="2" t="n">
        <v>38.5</v>
      </c>
      <c r="E5" s="1" t="n">
        <v>1</v>
      </c>
      <c r="F5" s="1" t="n">
        <f aca="false">A5</f>
        <v>1.991041</v>
      </c>
    </row>
    <row r="6" customFormat="false" ht="13.8" hidden="false" customHeight="false" outlineLevel="0" collapsed="false">
      <c r="A6" s="1" t="n">
        <v>3.99776</v>
      </c>
      <c r="B6" s="1" t="n">
        <v>10.2194</v>
      </c>
      <c r="C6" s="2" t="n">
        <v>11.3</v>
      </c>
      <c r="D6" s="2" t="n">
        <v>38.5</v>
      </c>
      <c r="E6" s="1" t="n">
        <v>1</v>
      </c>
      <c r="F6" s="1" t="n">
        <f aca="false">A6</f>
        <v>3.99776</v>
      </c>
    </row>
    <row r="7" customFormat="false" ht="13.8" hidden="false" customHeight="false" outlineLevel="0" collapsed="false">
      <c r="A7" s="1" t="n">
        <v>3.997761</v>
      </c>
      <c r="B7" s="1" t="n">
        <v>167.7547</v>
      </c>
      <c r="C7" s="2" t="n">
        <v>11.3</v>
      </c>
      <c r="D7" s="2" t="n">
        <v>38.5</v>
      </c>
      <c r="E7" s="1" t="n">
        <v>1</v>
      </c>
      <c r="F7" s="1" t="n">
        <v>4.001</v>
      </c>
    </row>
    <row r="8" customFormat="false" ht="13.8" hidden="false" customHeight="false" outlineLevel="0" collapsed="false">
      <c r="A8" s="1" t="n">
        <f aca="false">1/24/7</f>
        <v>0.00595238095238095</v>
      </c>
      <c r="B8" s="1" t="n">
        <v>243.8799</v>
      </c>
      <c r="C8" s="3" t="n">
        <v>14.7</v>
      </c>
      <c r="D8" s="3" t="n">
        <v>60.8</v>
      </c>
      <c r="E8" s="1" t="n">
        <v>2</v>
      </c>
      <c r="F8" s="1" t="n">
        <f aca="false">A8</f>
        <v>0.00595238095238095</v>
      </c>
    </row>
    <row r="9" customFormat="false" ht="13.8" hidden="false" customHeight="false" outlineLevel="0" collapsed="false">
      <c r="A9" s="1" t="n">
        <v>0.0156775</v>
      </c>
      <c r="B9" s="1" t="n">
        <v>213.7451</v>
      </c>
      <c r="C9" s="3" t="n">
        <v>14.7</v>
      </c>
      <c r="D9" s="3" t="n">
        <v>60.8</v>
      </c>
      <c r="E9" s="1" t="n">
        <v>2</v>
      </c>
      <c r="F9" s="1" t="n">
        <f aca="false">A9</f>
        <v>0.0156775</v>
      </c>
    </row>
    <row r="10" customFormat="false" ht="13.8" hidden="false" customHeight="false" outlineLevel="0" collapsed="false">
      <c r="A10" s="1" t="n">
        <v>0.4232923</v>
      </c>
      <c r="B10" s="1" t="n">
        <v>128.5467</v>
      </c>
      <c r="C10" s="3" t="n">
        <v>14.7</v>
      </c>
      <c r="D10" s="3" t="n">
        <v>60.8</v>
      </c>
      <c r="E10" s="1" t="n">
        <v>2</v>
      </c>
      <c r="F10" s="1" t="n">
        <f aca="false">A10</f>
        <v>0.4232923</v>
      </c>
    </row>
    <row r="11" customFormat="false" ht="13.8" hidden="false" customHeight="false" outlineLevel="0" collapsed="false">
      <c r="A11" s="1" t="n">
        <v>1.991041</v>
      </c>
      <c r="B11" s="1" t="n">
        <v>15.59435</v>
      </c>
      <c r="C11" s="3" t="n">
        <v>14.7</v>
      </c>
      <c r="D11" s="3" t="n">
        <v>60.8</v>
      </c>
      <c r="E11" s="1" t="n">
        <v>2</v>
      </c>
      <c r="F11" s="1" t="n">
        <f aca="false">A11</f>
        <v>1.991041</v>
      </c>
    </row>
    <row r="12" customFormat="false" ht="13.8" hidden="false" customHeight="false" outlineLevel="0" collapsed="false">
      <c r="A12" s="1" t="n">
        <v>3.982083</v>
      </c>
      <c r="B12" s="1" t="n">
        <v>20.9119</v>
      </c>
      <c r="C12" s="3" t="n">
        <v>14.7</v>
      </c>
      <c r="D12" s="3" t="n">
        <v>60.8</v>
      </c>
      <c r="E12" s="1" t="n">
        <v>2</v>
      </c>
      <c r="F12" s="1" t="n">
        <f aca="false">A12</f>
        <v>3.982083</v>
      </c>
    </row>
    <row r="13" customFormat="false" ht="13.8" hidden="false" customHeight="false" outlineLevel="0" collapsed="false">
      <c r="A13" s="1" t="n">
        <v>3.997761</v>
      </c>
      <c r="B13" s="1" t="n">
        <v>226.783</v>
      </c>
      <c r="C13" s="3" t="n">
        <v>14.7</v>
      </c>
      <c r="D13" s="3" t="n">
        <v>60.8</v>
      </c>
      <c r="E13" s="1" t="n">
        <v>2</v>
      </c>
      <c r="F13" s="1" t="n">
        <v>4.001</v>
      </c>
    </row>
    <row r="14" customFormat="false" ht="13.8" hidden="false" customHeight="false" outlineLevel="0" collapsed="false">
      <c r="A14" s="1" t="n">
        <v>7.995521</v>
      </c>
      <c r="B14" s="1" t="n">
        <v>11.25929</v>
      </c>
      <c r="C14" s="3" t="n">
        <v>14.7</v>
      </c>
      <c r="D14" s="3" t="n">
        <v>60.8</v>
      </c>
      <c r="E14" s="1" t="n">
        <v>2</v>
      </c>
      <c r="F14" s="1" t="n">
        <f aca="false">A14</f>
        <v>7.995521</v>
      </c>
    </row>
    <row r="15" customFormat="false" ht="13.8" hidden="false" customHeight="false" outlineLevel="0" collapsed="false">
      <c r="A15" s="1" t="n">
        <v>11.99328</v>
      </c>
      <c r="B15" s="1" t="n">
        <v>16.30263</v>
      </c>
      <c r="C15" s="3" t="n">
        <v>14.7</v>
      </c>
      <c r="D15" s="3" t="n">
        <v>60.8</v>
      </c>
      <c r="E15" s="1" t="n">
        <v>2</v>
      </c>
      <c r="F15" s="1" t="n">
        <f aca="false">A15</f>
        <v>11.99328</v>
      </c>
    </row>
    <row r="16" customFormat="false" ht="13.8" hidden="false" customHeight="false" outlineLevel="0" collapsed="false">
      <c r="A16" s="1" t="n">
        <v>11.99328</v>
      </c>
      <c r="B16" s="1" t="n">
        <v>157.8953</v>
      </c>
      <c r="C16" s="3" t="n">
        <v>14.7</v>
      </c>
      <c r="D16" s="3" t="n">
        <v>60.8</v>
      </c>
      <c r="E16" s="1" t="n">
        <v>2</v>
      </c>
      <c r="F16" s="1" t="n">
        <v>12.001</v>
      </c>
    </row>
    <row r="17" customFormat="false" ht="13.8" hidden="false" customHeight="false" outlineLevel="0" collapsed="false">
      <c r="A17" s="1" t="n">
        <v>0.0156775</v>
      </c>
      <c r="B17" s="1" t="n">
        <v>182.1111</v>
      </c>
      <c r="C17" s="4" t="n">
        <v>15.4</v>
      </c>
      <c r="D17" s="4" t="n">
        <v>30.7</v>
      </c>
      <c r="E17" s="1" t="n">
        <v>3</v>
      </c>
      <c r="F17" s="1" t="n">
        <f aca="false">A17</f>
        <v>0.0156775</v>
      </c>
    </row>
    <row r="18" customFormat="false" ht="13.8" hidden="false" customHeight="false" outlineLevel="0" collapsed="false">
      <c r="A18" s="1" t="n">
        <v>0.03135499</v>
      </c>
      <c r="B18" s="1" t="n">
        <v>142.5462</v>
      </c>
      <c r="C18" s="4" t="n">
        <v>15.4</v>
      </c>
      <c r="D18" s="4" t="n">
        <v>30.7</v>
      </c>
      <c r="E18" s="1" t="n">
        <v>3</v>
      </c>
      <c r="F18" s="1" t="n">
        <f aca="false">A18</f>
        <v>0.03135499</v>
      </c>
    </row>
    <row r="19" customFormat="false" ht="13.8" hidden="false" customHeight="false" outlineLevel="0" collapsed="false">
      <c r="A19" s="1" t="n">
        <v>1.991041</v>
      </c>
      <c r="B19" s="1" t="n">
        <v>6.678978</v>
      </c>
      <c r="C19" s="4" t="n">
        <v>15.4</v>
      </c>
      <c r="D19" s="4" t="n">
        <v>30.7</v>
      </c>
      <c r="E19" s="1" t="n">
        <v>3</v>
      </c>
      <c r="F19" s="1" t="n">
        <f aca="false">A19</f>
        <v>1.991041</v>
      </c>
    </row>
    <row r="20" customFormat="false" ht="13.8" hidden="false" customHeight="false" outlineLevel="0" collapsed="false">
      <c r="A20" s="1" t="n">
        <v>3.99776</v>
      </c>
      <c r="B20" s="1" t="n">
        <v>12.33844</v>
      </c>
      <c r="C20" s="4" t="n">
        <v>15.4</v>
      </c>
      <c r="D20" s="4" t="n">
        <v>30.7</v>
      </c>
      <c r="E20" s="1" t="n">
        <v>3</v>
      </c>
      <c r="F20" s="1" t="n">
        <f aca="false">A20</f>
        <v>3.99776</v>
      </c>
    </row>
    <row r="21" customFormat="false" ht="13.8" hidden="false" customHeight="false" outlineLevel="0" collapsed="false">
      <c r="A21" s="1" t="n">
        <v>3.997761</v>
      </c>
      <c r="B21" s="1" t="n">
        <v>138.9439</v>
      </c>
      <c r="C21" s="4" t="n">
        <v>15.4</v>
      </c>
      <c r="D21" s="4" t="n">
        <v>30.7</v>
      </c>
      <c r="E21" s="1" t="n">
        <v>3</v>
      </c>
      <c r="F21" s="1" t="n">
        <v>4.001</v>
      </c>
    </row>
    <row r="22" customFormat="false" ht="13.8" hidden="false" customHeight="false" outlineLevel="0" collapsed="false">
      <c r="A22" s="1" t="n">
        <v>7.979843</v>
      </c>
      <c r="B22" s="1" t="n">
        <v>11.15359</v>
      </c>
      <c r="C22" s="4" t="n">
        <v>15.4</v>
      </c>
      <c r="D22" s="4" t="n">
        <v>30.7</v>
      </c>
      <c r="E22" s="1" t="n">
        <v>3</v>
      </c>
      <c r="F22" s="1" t="n">
        <f aca="false">A22</f>
        <v>7.979843</v>
      </c>
    </row>
    <row r="23" customFormat="false" ht="13.8" hidden="false" customHeight="false" outlineLevel="0" collapsed="false">
      <c r="A23" s="1" t="n">
        <v>11.99328</v>
      </c>
      <c r="B23" s="1" t="n">
        <v>9.894527</v>
      </c>
      <c r="C23" s="4" t="n">
        <v>15.4</v>
      </c>
      <c r="D23" s="4" t="n">
        <v>30.7</v>
      </c>
      <c r="E23" s="1" t="n">
        <v>3</v>
      </c>
      <c r="F23" s="1" t="n">
        <f aca="false">A23</f>
        <v>11.99328</v>
      </c>
    </row>
    <row r="24" customFormat="false" ht="13.8" hidden="false" customHeight="false" outlineLevel="0" collapsed="false">
      <c r="A24" s="1" t="n">
        <v>12.00896</v>
      </c>
      <c r="B24" s="1" t="n">
        <v>127.1345</v>
      </c>
      <c r="C24" s="4" t="n">
        <v>15.4</v>
      </c>
      <c r="D24" s="4" t="n">
        <v>30.7</v>
      </c>
      <c r="E24" s="1" t="n">
        <v>3</v>
      </c>
      <c r="F24" s="1" t="n">
        <f aca="false">A24</f>
        <v>12.00896</v>
      </c>
    </row>
    <row r="25" customFormat="false" ht="13.8" hidden="false" customHeight="false" outlineLevel="0" collapsed="false">
      <c r="A25" s="1" t="n">
        <v>0.0156775</v>
      </c>
      <c r="B25" s="1" t="n">
        <v>314.527</v>
      </c>
      <c r="C25" s="5" t="n">
        <v>15.9</v>
      </c>
      <c r="D25" s="5" t="n">
        <v>65.6</v>
      </c>
      <c r="E25" s="1" t="n">
        <v>4</v>
      </c>
      <c r="F25" s="1" t="n">
        <f aca="false">A25</f>
        <v>0.0156775</v>
      </c>
    </row>
    <row r="26" customFormat="false" ht="13.8" hidden="false" customHeight="false" outlineLevel="0" collapsed="false">
      <c r="A26" s="1" t="n">
        <v>0.03135499</v>
      </c>
      <c r="B26" s="1" t="n">
        <v>217.8132</v>
      </c>
      <c r="C26" s="5" t="n">
        <v>15.9</v>
      </c>
      <c r="D26" s="5" t="n">
        <v>65.6</v>
      </c>
      <c r="E26" s="1" t="n">
        <v>4</v>
      </c>
      <c r="F26" s="1" t="n">
        <f aca="false">A26</f>
        <v>0.03135499</v>
      </c>
    </row>
    <row r="27" customFormat="false" ht="13.8" hidden="false" customHeight="false" outlineLevel="0" collapsed="false">
      <c r="A27" s="1" t="n">
        <v>0.4232923</v>
      </c>
      <c r="B27" s="1" t="n">
        <v>99.67442</v>
      </c>
      <c r="C27" s="5" t="n">
        <v>15.9</v>
      </c>
      <c r="D27" s="5" t="n">
        <v>65.6</v>
      </c>
      <c r="E27" s="1" t="n">
        <v>4</v>
      </c>
      <c r="F27" s="1" t="n">
        <f aca="false">A27</f>
        <v>0.4232923</v>
      </c>
    </row>
    <row r="28" customFormat="false" ht="13.8" hidden="false" customHeight="false" outlineLevel="0" collapsed="false">
      <c r="A28" s="1" t="n">
        <v>1.991041</v>
      </c>
      <c r="B28" s="1" t="n">
        <v>20.8839</v>
      </c>
      <c r="C28" s="5" t="n">
        <v>15.9</v>
      </c>
      <c r="D28" s="5" t="n">
        <v>65.6</v>
      </c>
      <c r="E28" s="1" t="n">
        <v>4</v>
      </c>
      <c r="F28" s="1" t="n">
        <f aca="false">A28</f>
        <v>1.991041</v>
      </c>
    </row>
    <row r="29" customFormat="false" ht="13.8" hidden="false" customHeight="false" outlineLevel="0" collapsed="false">
      <c r="A29" s="1" t="n">
        <v>3.982083</v>
      </c>
      <c r="B29" s="1" t="n">
        <v>6.815151</v>
      </c>
      <c r="C29" s="5" t="n">
        <v>15.9</v>
      </c>
      <c r="D29" s="5" t="n">
        <v>65.6</v>
      </c>
      <c r="E29" s="1" t="n">
        <v>4</v>
      </c>
      <c r="F29" s="1" t="n">
        <f aca="false">A29</f>
        <v>3.982083</v>
      </c>
    </row>
    <row r="30" customFormat="false" ht="13.8" hidden="false" customHeight="false" outlineLevel="0" collapsed="false">
      <c r="A30" s="1" t="n">
        <f aca="false">1/24/7</f>
        <v>0.00595238095238095</v>
      </c>
      <c r="B30" s="1" t="n">
        <v>149.4188</v>
      </c>
      <c r="C30" s="6" t="n">
        <v>8.5</v>
      </c>
      <c r="D30" s="6" t="n">
        <v>18.5</v>
      </c>
      <c r="E30" s="1" t="n">
        <v>5</v>
      </c>
      <c r="F30" s="1" t="n">
        <f aca="false">A30</f>
        <v>0.00595238095238095</v>
      </c>
    </row>
    <row r="31" customFormat="false" ht="13.8" hidden="false" customHeight="false" outlineLevel="0" collapsed="false">
      <c r="A31" s="1" t="n">
        <v>0.4232923</v>
      </c>
      <c r="B31" s="1" t="n">
        <v>63.41321</v>
      </c>
      <c r="C31" s="6" t="n">
        <v>8.5</v>
      </c>
      <c r="D31" s="6" t="n">
        <v>18.5</v>
      </c>
      <c r="E31" s="1" t="n">
        <v>5</v>
      </c>
      <c r="F31" s="1" t="n">
        <f aca="false">A31</f>
        <v>0.4232923</v>
      </c>
    </row>
    <row r="32" customFormat="false" ht="13.8" hidden="false" customHeight="false" outlineLevel="0" collapsed="false">
      <c r="A32" s="1" t="n">
        <v>1.991041</v>
      </c>
      <c r="B32" s="1" t="n">
        <v>11.64456</v>
      </c>
      <c r="C32" s="6" t="n">
        <v>8.5</v>
      </c>
      <c r="D32" s="6" t="n">
        <v>18.5</v>
      </c>
      <c r="E32" s="1" t="n">
        <v>5</v>
      </c>
      <c r="F32" s="1" t="n">
        <f aca="false">A32</f>
        <v>1.991041</v>
      </c>
    </row>
    <row r="33" customFormat="false" ht="13.8" hidden="false" customHeight="false" outlineLevel="0" collapsed="false">
      <c r="A33" s="1" t="n">
        <v>4.013438</v>
      </c>
      <c r="B33" s="1" t="n">
        <v>7.418402</v>
      </c>
      <c r="C33" s="6" t="n">
        <v>8.5</v>
      </c>
      <c r="D33" s="6" t="n">
        <v>18.5</v>
      </c>
      <c r="E33" s="1" t="n">
        <v>5</v>
      </c>
      <c r="F33" s="1" t="n">
        <v>3.999</v>
      </c>
    </row>
    <row r="34" customFormat="false" ht="13.8" hidden="false" customHeight="false" outlineLevel="0" collapsed="false">
      <c r="A34" s="1" t="n">
        <v>3.997761</v>
      </c>
      <c r="B34" s="1" t="n">
        <v>96.21912</v>
      </c>
      <c r="C34" s="6" t="n">
        <v>8.5</v>
      </c>
      <c r="D34" s="6" t="n">
        <v>18.5</v>
      </c>
      <c r="E34" s="1" t="n">
        <v>5</v>
      </c>
      <c r="F34" s="1" t="n">
        <v>4.001</v>
      </c>
    </row>
    <row r="35" customFormat="false" ht="13.8" hidden="false" customHeight="false" outlineLevel="0" collapsed="false">
      <c r="A35" s="1" t="n">
        <f aca="false">1/24/7</f>
        <v>0.00595238095238095</v>
      </c>
      <c r="B35" s="1" t="n">
        <v>124.9286</v>
      </c>
      <c r="C35" s="7" t="n">
        <v>9.3</v>
      </c>
      <c r="D35" s="7" t="n">
        <v>26.4</v>
      </c>
      <c r="E35" s="1" t="n">
        <v>6</v>
      </c>
      <c r="F35" s="1" t="n">
        <f aca="false">A35</f>
        <v>0.00595238095238095</v>
      </c>
    </row>
    <row r="36" customFormat="false" ht="13.8" hidden="false" customHeight="false" outlineLevel="0" collapsed="false">
      <c r="A36" s="1" t="n">
        <v>0.4232923</v>
      </c>
      <c r="B36" s="1" t="n">
        <v>75.13309</v>
      </c>
      <c r="C36" s="7" t="n">
        <v>9.3</v>
      </c>
      <c r="D36" s="7" t="n">
        <v>26.4</v>
      </c>
      <c r="E36" s="1" t="n">
        <v>6</v>
      </c>
      <c r="F36" s="1" t="n">
        <f aca="false">A36</f>
        <v>0.4232923</v>
      </c>
    </row>
    <row r="37" customFormat="false" ht="13.8" hidden="false" customHeight="false" outlineLevel="0" collapsed="false">
      <c r="A37" s="1" t="n">
        <v>1.991041</v>
      </c>
      <c r="B37" s="1" t="n">
        <v>8.217288</v>
      </c>
      <c r="C37" s="7" t="n">
        <v>9.3</v>
      </c>
      <c r="D37" s="7" t="n">
        <v>26.4</v>
      </c>
      <c r="E37" s="1" t="n">
        <v>6</v>
      </c>
      <c r="F37" s="1" t="n">
        <f aca="false">A37</f>
        <v>1.991041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2025-11-26T15:30:30Z</dcterms:created>
  <dc:creator>Christoph Niederalt</dc:creator>
  <dc:description/>
  <dc:language>en-US</dc:language>
  <cp:lastModifiedBy/>
  <dcterms:modified xsi:type="dcterms:W3CDTF">2026-08-11T09:47:48Z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acc2bca7-34d0-4678-8ef8-f275a8196056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2025-11-26T16:02:15Z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