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ivate\prvmalik\Tocilizumab\"/>
    </mc:Choice>
  </mc:AlternateContent>
  <xr:revisionPtr revIDLastSave="0" documentId="13_ncr:1_{2E8660B4-3C8A-4229-A41F-7E3B5F97D104}" xr6:coauthVersionLast="46" xr6:coauthVersionMax="46" xr10:uidLastSave="{00000000-0000-0000-0000-000000000000}"/>
  <bookViews>
    <workbookView xWindow="-120" yWindow="-120" windowWidth="29040" windowHeight="15840" activeTab="5" xr2:uid="{4CBDC0F2-E67E-491D-90DC-07760AE60E2B}"/>
  </bookViews>
  <sheets>
    <sheet name="Zhang 2013" sheetId="1" r:id="rId1"/>
    <sheet name="Zh sIL-6R" sheetId="3" r:id="rId2"/>
    <sheet name="Mallalieu 2019" sheetId="2" r:id="rId3"/>
    <sheet name="Mal sIL-6R" sheetId="4" r:id="rId4"/>
    <sheet name="Paccaly 2020" sheetId="5" r:id="rId5"/>
    <sheet name="Pac sIL-6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6" l="1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E16" i="6"/>
  <c r="E15" i="6"/>
  <c r="E14" i="6"/>
  <c r="E13" i="6"/>
  <c r="E11" i="6"/>
  <c r="E10" i="6"/>
  <c r="E9" i="6"/>
  <c r="E8" i="6"/>
  <c r="K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E23" i="5"/>
  <c r="E31" i="5"/>
  <c r="E30" i="5"/>
  <c r="E29" i="5"/>
  <c r="E28" i="5"/>
  <c r="E27" i="5"/>
  <c r="E26" i="5"/>
  <c r="E25" i="5"/>
  <c r="E24" i="5"/>
  <c r="E22" i="5"/>
  <c r="E6" i="4"/>
  <c r="E5" i="4"/>
  <c r="E4" i="4"/>
  <c r="E3" i="4"/>
  <c r="E2" i="4"/>
  <c r="E7" i="2"/>
  <c r="E6" i="2"/>
  <c r="E5" i="2"/>
  <c r="E4" i="2"/>
  <c r="E3" i="2"/>
</calcChain>
</file>

<file path=xl/sharedStrings.xml><?xml version="1.0" encoding="utf-8"?>
<sst xmlns="http://schemas.openxmlformats.org/spreadsheetml/2006/main" count="974" uniqueCount="45">
  <si>
    <t>Study Id</t>
  </si>
  <si>
    <t>Zhang162</t>
  </si>
  <si>
    <t>Dose</t>
  </si>
  <si>
    <t>Route</t>
  </si>
  <si>
    <t>IV</t>
  </si>
  <si>
    <t>Time [h]</t>
  </si>
  <si>
    <t>N</t>
  </si>
  <si>
    <t>Age</t>
  </si>
  <si>
    <t>Height</t>
  </si>
  <si>
    <t>Weight</t>
  </si>
  <si>
    <t>% Male</t>
  </si>
  <si>
    <t>45 [21 - 61]</t>
  </si>
  <si>
    <t>77 [49 - 101]</t>
  </si>
  <si>
    <t>NR</t>
  </si>
  <si>
    <t>Ethnicity</t>
  </si>
  <si>
    <t>Disease</t>
  </si>
  <si>
    <t>Healthy</t>
  </si>
  <si>
    <t>USA</t>
  </si>
  <si>
    <t>Infusion Time [h]</t>
  </si>
  <si>
    <t>Zhang162-sIL6r</t>
  </si>
  <si>
    <t>Zhang81-sIL6R</t>
  </si>
  <si>
    <t>1.3 [0.83 - 1.83]</t>
  </si>
  <si>
    <t>12 mg/kg</t>
  </si>
  <si>
    <t>Dose [mg]</t>
  </si>
  <si>
    <r>
      <t xml:space="preserve">9.97 </t>
    </r>
    <r>
      <rPr>
        <sz val="11"/>
        <color theme="1"/>
        <rFont val="Calibri"/>
        <family val="2"/>
      </rPr>
      <t>± 1.32</t>
    </r>
    <r>
      <rPr>
        <sz val="11"/>
        <color theme="1"/>
        <rFont val="Calibri"/>
        <family val="2"/>
        <scheme val="minor"/>
      </rPr>
      <t/>
    </r>
  </si>
  <si>
    <r>
      <t xml:space="preserve">9.97 </t>
    </r>
    <r>
      <rPr>
        <sz val="11"/>
        <color theme="1"/>
        <rFont val="Calibri"/>
        <family val="2"/>
      </rPr>
      <t>± 1.33</t>
    </r>
    <r>
      <rPr>
        <sz val="11"/>
        <color theme="1"/>
        <rFont val="Calibri"/>
        <family val="2"/>
        <scheme val="minor"/>
      </rPr>
      <t/>
    </r>
  </si>
  <si>
    <r>
      <t xml:space="preserve">9.97 </t>
    </r>
    <r>
      <rPr>
        <sz val="11"/>
        <color theme="1"/>
        <rFont val="Calibri"/>
        <family val="2"/>
      </rPr>
      <t>± 1.34</t>
    </r>
    <r>
      <rPr>
        <sz val="11"/>
        <color theme="1"/>
        <rFont val="Calibri"/>
        <family val="2"/>
        <scheme val="minor"/>
      </rPr>
      <t/>
    </r>
  </si>
  <si>
    <r>
      <t xml:space="preserve">9.97 </t>
    </r>
    <r>
      <rPr>
        <sz val="11"/>
        <color theme="1"/>
        <rFont val="Calibri"/>
        <family val="2"/>
      </rPr>
      <t>± 1.35</t>
    </r>
    <r>
      <rPr>
        <sz val="11"/>
        <color theme="1"/>
        <rFont val="Calibri"/>
        <family val="2"/>
        <scheme val="minor"/>
      </rPr>
      <t/>
    </r>
  </si>
  <si>
    <r>
      <t xml:space="preserve">9.97 </t>
    </r>
    <r>
      <rPr>
        <sz val="11"/>
        <color theme="1"/>
        <rFont val="Calibri"/>
        <family val="2"/>
      </rPr>
      <t>± 1.36</t>
    </r>
    <r>
      <rPr>
        <sz val="11"/>
        <color theme="1"/>
        <rFont val="Calibri"/>
        <family val="2"/>
        <scheme val="minor"/>
      </rPr>
      <t/>
    </r>
  </si>
  <si>
    <r>
      <t xml:space="preserve">9.97 </t>
    </r>
    <r>
      <rPr>
        <sz val="11"/>
        <color theme="1"/>
        <rFont val="Calibri"/>
        <family val="2"/>
      </rPr>
      <t>± 1.37</t>
    </r>
    <r>
      <rPr>
        <sz val="11"/>
        <color theme="1"/>
        <rFont val="Calibri"/>
        <family val="2"/>
        <scheme val="minor"/>
      </rPr>
      <t/>
    </r>
  </si>
  <si>
    <t>Mallalieu</t>
  </si>
  <si>
    <t>Mallalieu-sIL6R</t>
  </si>
  <si>
    <t>Zhang81</t>
  </si>
  <si>
    <t>Concentration [mg/L]</t>
  </si>
  <si>
    <t>Error [mg/L]</t>
  </si>
  <si>
    <t>Concentration [pmol/L]</t>
  </si>
  <si>
    <t>Error [pmol/L]</t>
  </si>
  <si>
    <t>8 mg/kg</t>
  </si>
  <si>
    <t>4 mg/kg</t>
  </si>
  <si>
    <t>Paccaly4</t>
  </si>
  <si>
    <t>Paccaly8</t>
  </si>
  <si>
    <t>RA</t>
  </si>
  <si>
    <r>
      <t xml:space="preserve">55 </t>
    </r>
    <r>
      <rPr>
        <sz val="11"/>
        <color theme="1"/>
        <rFont val="Calibri"/>
        <family val="2"/>
      </rPr>
      <t>± 11.7</t>
    </r>
  </si>
  <si>
    <t>Paccaly4-sIL6R</t>
  </si>
  <si>
    <t>Paccaly8-sIL6R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</si>
</sst>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94F4-2741-45B8-A473-8F2E0EBF31D3}">
  <dimension ref="A1:M27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0</v>
      </c>
      <c r="B1" t="s">
        <v>23</v>
      </c>
      <c r="C1" t="s">
        <v>3</v>
      </c>
      <c r="D1" t="s">
        <v>18</v>
      </c>
      <c r="E1" t="s">
        <v>5</v>
      </c>
      <c r="F1" t="s">
        <v>33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</row>
    <row r="2" spans="1:13" x14ac:dyDescent="0.25">
      <c r="A2" t="s">
        <v>1</v>
      </c>
      <c r="B2">
        <v>162</v>
      </c>
      <c r="C2" t="s">
        <v>4</v>
      </c>
      <c r="D2">
        <v>1</v>
      </c>
      <c r="E2">
        <v>0.5</v>
      </c>
      <c r="F2">
        <v>43.962418</v>
      </c>
      <c r="G2">
        <v>12</v>
      </c>
      <c r="H2" t="s">
        <v>11</v>
      </c>
      <c r="I2" t="s">
        <v>13</v>
      </c>
      <c r="J2" t="s">
        <v>12</v>
      </c>
      <c r="K2">
        <v>0.75</v>
      </c>
      <c r="L2" t="s">
        <v>17</v>
      </c>
      <c r="M2" t="s">
        <v>16</v>
      </c>
    </row>
    <row r="3" spans="1:13" x14ac:dyDescent="0.25">
      <c r="A3" t="s">
        <v>1</v>
      </c>
      <c r="B3">
        <v>162</v>
      </c>
      <c r="C3" t="s">
        <v>4</v>
      </c>
      <c r="D3">
        <v>1</v>
      </c>
      <c r="E3">
        <v>4</v>
      </c>
      <c r="F3">
        <v>42.016106000000001</v>
      </c>
      <c r="G3">
        <v>12</v>
      </c>
      <c r="H3" t="s">
        <v>11</v>
      </c>
      <c r="I3" t="s">
        <v>13</v>
      </c>
      <c r="J3" t="s">
        <v>12</v>
      </c>
      <c r="K3">
        <v>0.75</v>
      </c>
      <c r="L3" t="s">
        <v>17</v>
      </c>
      <c r="M3" t="s">
        <v>16</v>
      </c>
    </row>
    <row r="4" spans="1:13" x14ac:dyDescent="0.25">
      <c r="A4" t="s">
        <v>1</v>
      </c>
      <c r="B4">
        <v>162</v>
      </c>
      <c r="C4" t="s">
        <v>4</v>
      </c>
      <c r="D4">
        <v>1</v>
      </c>
      <c r="E4">
        <v>8</v>
      </c>
      <c r="F4">
        <v>38.084564</v>
      </c>
      <c r="G4">
        <v>12</v>
      </c>
      <c r="H4" t="s">
        <v>11</v>
      </c>
      <c r="I4" t="s">
        <v>13</v>
      </c>
      <c r="J4" t="s">
        <v>12</v>
      </c>
      <c r="K4">
        <v>0.75</v>
      </c>
      <c r="L4" t="s">
        <v>17</v>
      </c>
      <c r="M4" t="s">
        <v>16</v>
      </c>
    </row>
    <row r="5" spans="1:13" x14ac:dyDescent="0.25">
      <c r="A5" t="s">
        <v>1</v>
      </c>
      <c r="B5">
        <v>162</v>
      </c>
      <c r="C5" t="s">
        <v>4</v>
      </c>
      <c r="D5">
        <v>1</v>
      </c>
      <c r="E5">
        <v>12</v>
      </c>
      <c r="F5">
        <v>36.799999999999997</v>
      </c>
      <c r="G5">
        <v>12</v>
      </c>
      <c r="H5" t="s">
        <v>11</v>
      </c>
      <c r="I5" t="s">
        <v>13</v>
      </c>
      <c r="J5" t="s">
        <v>12</v>
      </c>
      <c r="K5">
        <v>0.75</v>
      </c>
      <c r="L5" t="s">
        <v>17</v>
      </c>
      <c r="M5" t="s">
        <v>16</v>
      </c>
    </row>
    <row r="6" spans="1:13" x14ac:dyDescent="0.25">
      <c r="A6" t="s">
        <v>1</v>
      </c>
      <c r="B6">
        <v>162</v>
      </c>
      <c r="C6" t="s">
        <v>4</v>
      </c>
      <c r="D6">
        <v>1</v>
      </c>
      <c r="E6">
        <v>24</v>
      </c>
      <c r="F6">
        <v>31.116779999999999</v>
      </c>
      <c r="G6">
        <v>12</v>
      </c>
      <c r="H6" t="s">
        <v>11</v>
      </c>
      <c r="I6" t="s">
        <v>13</v>
      </c>
      <c r="J6" t="s">
        <v>12</v>
      </c>
      <c r="K6">
        <v>0.75</v>
      </c>
      <c r="L6" t="s">
        <v>17</v>
      </c>
      <c r="M6" t="s">
        <v>16</v>
      </c>
    </row>
    <row r="7" spans="1:13" x14ac:dyDescent="0.25">
      <c r="A7" t="s">
        <v>1</v>
      </c>
      <c r="B7">
        <v>162</v>
      </c>
      <c r="C7" t="s">
        <v>4</v>
      </c>
      <c r="D7">
        <v>1</v>
      </c>
      <c r="E7">
        <v>36</v>
      </c>
      <c r="F7">
        <v>26.990604000000001</v>
      </c>
      <c r="G7">
        <v>12</v>
      </c>
      <c r="H7" t="s">
        <v>11</v>
      </c>
      <c r="I7" t="s">
        <v>13</v>
      </c>
      <c r="J7" t="s">
        <v>12</v>
      </c>
      <c r="K7">
        <v>0.75</v>
      </c>
      <c r="L7" t="s">
        <v>17</v>
      </c>
      <c r="M7" t="s">
        <v>16</v>
      </c>
    </row>
    <row r="8" spans="1:13" x14ac:dyDescent="0.25">
      <c r="A8" t="s">
        <v>1</v>
      </c>
      <c r="B8">
        <v>162</v>
      </c>
      <c r="C8" t="s">
        <v>4</v>
      </c>
      <c r="D8">
        <v>1</v>
      </c>
      <c r="E8">
        <v>48</v>
      </c>
      <c r="F8">
        <v>22.124832000000001</v>
      </c>
      <c r="G8">
        <v>12</v>
      </c>
      <c r="H8" t="s">
        <v>11</v>
      </c>
      <c r="I8" t="s">
        <v>13</v>
      </c>
      <c r="J8" t="s">
        <v>12</v>
      </c>
      <c r="K8">
        <v>0.75</v>
      </c>
      <c r="L8" t="s">
        <v>17</v>
      </c>
      <c r="M8" t="s">
        <v>16</v>
      </c>
    </row>
    <row r="9" spans="1:13" x14ac:dyDescent="0.25">
      <c r="A9" t="s">
        <v>1</v>
      </c>
      <c r="B9">
        <v>162</v>
      </c>
      <c r="C9" t="s">
        <v>4</v>
      </c>
      <c r="D9">
        <v>1</v>
      </c>
      <c r="E9">
        <v>72</v>
      </c>
      <c r="F9">
        <v>18.738254999999999</v>
      </c>
      <c r="G9">
        <v>12</v>
      </c>
      <c r="H9" t="s">
        <v>11</v>
      </c>
      <c r="I9" t="s">
        <v>13</v>
      </c>
      <c r="J9" t="s">
        <v>12</v>
      </c>
      <c r="K9">
        <v>0.75</v>
      </c>
      <c r="L9" t="s">
        <v>17</v>
      </c>
      <c r="M9" t="s">
        <v>16</v>
      </c>
    </row>
    <row r="10" spans="1:13" x14ac:dyDescent="0.25">
      <c r="A10" t="s">
        <v>1</v>
      </c>
      <c r="B10">
        <v>162</v>
      </c>
      <c r="C10" t="s">
        <v>4</v>
      </c>
      <c r="D10">
        <v>1</v>
      </c>
      <c r="E10">
        <v>96</v>
      </c>
      <c r="F10">
        <v>15.157047</v>
      </c>
      <c r="G10">
        <v>12</v>
      </c>
      <c r="H10" t="s">
        <v>11</v>
      </c>
      <c r="I10" t="s">
        <v>13</v>
      </c>
      <c r="J10" t="s">
        <v>12</v>
      </c>
      <c r="K10">
        <v>0.75</v>
      </c>
      <c r="L10" t="s">
        <v>17</v>
      </c>
      <c r="M10" t="s">
        <v>16</v>
      </c>
    </row>
    <row r="11" spans="1:13" x14ac:dyDescent="0.25">
      <c r="A11" t="s">
        <v>1</v>
      </c>
      <c r="B11">
        <v>162</v>
      </c>
      <c r="C11" t="s">
        <v>4</v>
      </c>
      <c r="D11">
        <v>1</v>
      </c>
      <c r="E11">
        <v>144</v>
      </c>
      <c r="F11">
        <v>11.848322</v>
      </c>
      <c r="G11">
        <v>12</v>
      </c>
      <c r="H11" t="s">
        <v>11</v>
      </c>
      <c r="I11" t="s">
        <v>13</v>
      </c>
      <c r="J11" t="s">
        <v>12</v>
      </c>
      <c r="K11">
        <v>0.75</v>
      </c>
      <c r="L11" t="s">
        <v>17</v>
      </c>
      <c r="M11" t="s">
        <v>16</v>
      </c>
    </row>
    <row r="12" spans="1:13" x14ac:dyDescent="0.25">
      <c r="A12" t="s">
        <v>1</v>
      </c>
      <c r="B12">
        <v>162</v>
      </c>
      <c r="C12" t="s">
        <v>4</v>
      </c>
      <c r="D12">
        <v>1</v>
      </c>
      <c r="E12">
        <v>192</v>
      </c>
      <c r="F12">
        <v>7.4496646000000002</v>
      </c>
      <c r="G12">
        <v>12</v>
      </c>
      <c r="H12" t="s">
        <v>11</v>
      </c>
      <c r="I12" t="s">
        <v>13</v>
      </c>
      <c r="J12" t="s">
        <v>12</v>
      </c>
      <c r="K12">
        <v>0.75</v>
      </c>
      <c r="L12" t="s">
        <v>17</v>
      </c>
      <c r="M12" t="s">
        <v>16</v>
      </c>
    </row>
    <row r="13" spans="1:13" x14ac:dyDescent="0.25">
      <c r="A13" t="s">
        <v>1</v>
      </c>
      <c r="B13">
        <v>162</v>
      </c>
      <c r="C13" t="s">
        <v>4</v>
      </c>
      <c r="D13">
        <v>1</v>
      </c>
      <c r="E13">
        <v>240</v>
      </c>
      <c r="F13">
        <v>5.5422820000000002</v>
      </c>
      <c r="G13">
        <v>12</v>
      </c>
      <c r="H13" t="s">
        <v>11</v>
      </c>
      <c r="I13" t="s">
        <v>13</v>
      </c>
      <c r="J13" t="s">
        <v>12</v>
      </c>
      <c r="K13">
        <v>0.75</v>
      </c>
      <c r="L13" t="s">
        <v>17</v>
      </c>
      <c r="M13" t="s">
        <v>16</v>
      </c>
    </row>
    <row r="14" spans="1:13" x14ac:dyDescent="0.25">
      <c r="A14" t="s">
        <v>1</v>
      </c>
      <c r="B14">
        <v>162</v>
      </c>
      <c r="C14" t="s">
        <v>4</v>
      </c>
      <c r="D14">
        <v>1</v>
      </c>
      <c r="E14">
        <v>288</v>
      </c>
      <c r="F14">
        <v>2.856376</v>
      </c>
      <c r="G14">
        <v>12</v>
      </c>
      <c r="H14" t="s">
        <v>11</v>
      </c>
      <c r="I14" t="s">
        <v>13</v>
      </c>
      <c r="J14" t="s">
        <v>12</v>
      </c>
      <c r="K14">
        <v>0.75</v>
      </c>
      <c r="L14" t="s">
        <v>17</v>
      </c>
      <c r="M14" t="s">
        <v>16</v>
      </c>
    </row>
    <row r="15" spans="1:13" x14ac:dyDescent="0.25">
      <c r="A15" t="s">
        <v>1</v>
      </c>
      <c r="B15">
        <v>162</v>
      </c>
      <c r="C15" t="s">
        <v>4</v>
      </c>
      <c r="D15">
        <v>1</v>
      </c>
      <c r="E15">
        <v>336</v>
      </c>
      <c r="F15">
        <v>1.4161074</v>
      </c>
      <c r="G15">
        <v>12</v>
      </c>
      <c r="H15" t="s">
        <v>11</v>
      </c>
      <c r="I15" t="s">
        <v>13</v>
      </c>
      <c r="J15" t="s">
        <v>12</v>
      </c>
      <c r="K15">
        <v>0.75</v>
      </c>
      <c r="L15" t="s">
        <v>17</v>
      </c>
      <c r="M15" t="s">
        <v>16</v>
      </c>
    </row>
    <row r="16" spans="1:13" x14ac:dyDescent="0.25">
      <c r="A16" t="s">
        <v>1</v>
      </c>
      <c r="B16">
        <v>162</v>
      </c>
      <c r="C16" t="s">
        <v>4</v>
      </c>
      <c r="D16">
        <v>1</v>
      </c>
      <c r="E16">
        <v>384</v>
      </c>
      <c r="F16">
        <v>0.40402684</v>
      </c>
      <c r="G16">
        <v>12</v>
      </c>
      <c r="H16" t="s">
        <v>11</v>
      </c>
      <c r="I16" t="s">
        <v>13</v>
      </c>
      <c r="J16" t="s">
        <v>12</v>
      </c>
      <c r="K16">
        <v>0.75</v>
      </c>
      <c r="L16" t="s">
        <v>17</v>
      </c>
      <c r="M16" t="s">
        <v>16</v>
      </c>
    </row>
    <row r="17" spans="1:13" x14ac:dyDescent="0.25">
      <c r="A17" t="s">
        <v>32</v>
      </c>
      <c r="B17">
        <v>81</v>
      </c>
      <c r="C17" t="s">
        <v>4</v>
      </c>
      <c r="D17">
        <v>1</v>
      </c>
      <c r="E17">
        <v>4</v>
      </c>
      <c r="F17">
        <v>22.942281999999999</v>
      </c>
      <c r="G17">
        <v>12</v>
      </c>
      <c r="H17" t="s">
        <v>11</v>
      </c>
      <c r="I17" t="s">
        <v>13</v>
      </c>
      <c r="J17" t="s">
        <v>12</v>
      </c>
      <c r="K17">
        <v>0.75</v>
      </c>
      <c r="L17" t="s">
        <v>17</v>
      </c>
      <c r="M17" t="s">
        <v>16</v>
      </c>
    </row>
    <row r="18" spans="1:13" x14ac:dyDescent="0.25">
      <c r="A18" t="s">
        <v>32</v>
      </c>
      <c r="B18">
        <v>81</v>
      </c>
      <c r="C18" t="s">
        <v>4</v>
      </c>
      <c r="D18">
        <v>1</v>
      </c>
      <c r="E18">
        <v>8</v>
      </c>
      <c r="F18">
        <v>20.684564999999999</v>
      </c>
      <c r="G18">
        <v>12</v>
      </c>
      <c r="H18" t="s">
        <v>11</v>
      </c>
      <c r="I18" t="s">
        <v>13</v>
      </c>
      <c r="J18" t="s">
        <v>12</v>
      </c>
      <c r="K18">
        <v>0.75</v>
      </c>
      <c r="L18" t="s">
        <v>17</v>
      </c>
      <c r="M18" t="s">
        <v>16</v>
      </c>
    </row>
    <row r="19" spans="1:13" x14ac:dyDescent="0.25">
      <c r="A19" t="s">
        <v>32</v>
      </c>
      <c r="B19">
        <v>81</v>
      </c>
      <c r="C19" t="s">
        <v>4</v>
      </c>
      <c r="D19">
        <v>1</v>
      </c>
      <c r="E19">
        <v>12</v>
      </c>
      <c r="F19">
        <v>16.714093999999999</v>
      </c>
      <c r="G19">
        <v>12</v>
      </c>
      <c r="H19" t="s">
        <v>11</v>
      </c>
      <c r="I19" t="s">
        <v>13</v>
      </c>
      <c r="J19" t="s">
        <v>12</v>
      </c>
      <c r="K19">
        <v>0.75</v>
      </c>
      <c r="L19" t="s">
        <v>17</v>
      </c>
      <c r="M19" t="s">
        <v>16</v>
      </c>
    </row>
    <row r="20" spans="1:13" x14ac:dyDescent="0.25">
      <c r="A20" t="s">
        <v>32</v>
      </c>
      <c r="B20">
        <v>81</v>
      </c>
      <c r="C20" t="s">
        <v>4</v>
      </c>
      <c r="D20">
        <v>1</v>
      </c>
      <c r="E20">
        <v>24</v>
      </c>
      <c r="F20">
        <v>14.962415999999999</v>
      </c>
      <c r="G20">
        <v>12</v>
      </c>
      <c r="H20" t="s">
        <v>11</v>
      </c>
      <c r="I20" t="s">
        <v>13</v>
      </c>
      <c r="J20" t="s">
        <v>12</v>
      </c>
      <c r="K20">
        <v>0.75</v>
      </c>
      <c r="L20" t="s">
        <v>17</v>
      </c>
      <c r="M20" t="s">
        <v>16</v>
      </c>
    </row>
    <row r="21" spans="1:13" x14ac:dyDescent="0.25">
      <c r="A21" t="s">
        <v>32</v>
      </c>
      <c r="B21">
        <v>81</v>
      </c>
      <c r="C21" t="s">
        <v>4</v>
      </c>
      <c r="D21">
        <v>1</v>
      </c>
      <c r="E21">
        <v>36</v>
      </c>
      <c r="F21">
        <v>11.692617</v>
      </c>
      <c r="G21">
        <v>12</v>
      </c>
      <c r="H21" t="s">
        <v>11</v>
      </c>
      <c r="I21" t="s">
        <v>13</v>
      </c>
      <c r="J21" t="s">
        <v>12</v>
      </c>
      <c r="K21">
        <v>0.75</v>
      </c>
      <c r="L21" t="s">
        <v>17</v>
      </c>
      <c r="M21" t="s">
        <v>16</v>
      </c>
    </row>
    <row r="22" spans="1:13" x14ac:dyDescent="0.25">
      <c r="A22" t="s">
        <v>32</v>
      </c>
      <c r="B22">
        <v>81</v>
      </c>
      <c r="C22" t="s">
        <v>4</v>
      </c>
      <c r="D22">
        <v>1</v>
      </c>
      <c r="E22">
        <v>48</v>
      </c>
      <c r="F22">
        <v>11.264429</v>
      </c>
      <c r="G22">
        <v>12</v>
      </c>
      <c r="H22" t="s">
        <v>11</v>
      </c>
      <c r="I22" t="s">
        <v>13</v>
      </c>
      <c r="J22" t="s">
        <v>12</v>
      </c>
      <c r="K22">
        <v>0.75</v>
      </c>
      <c r="L22" t="s">
        <v>17</v>
      </c>
      <c r="M22" t="s">
        <v>16</v>
      </c>
    </row>
    <row r="23" spans="1:13" x14ac:dyDescent="0.25">
      <c r="A23" t="s">
        <v>32</v>
      </c>
      <c r="B23">
        <v>81</v>
      </c>
      <c r="C23" t="s">
        <v>4</v>
      </c>
      <c r="D23">
        <v>1</v>
      </c>
      <c r="E23">
        <v>72</v>
      </c>
      <c r="F23">
        <v>7.4496646000000002</v>
      </c>
      <c r="G23">
        <v>12</v>
      </c>
      <c r="H23" t="s">
        <v>11</v>
      </c>
      <c r="I23" t="s">
        <v>13</v>
      </c>
      <c r="J23" t="s">
        <v>12</v>
      </c>
      <c r="K23">
        <v>0.75</v>
      </c>
      <c r="L23" t="s">
        <v>17</v>
      </c>
      <c r="M23" t="s">
        <v>16</v>
      </c>
    </row>
    <row r="24" spans="1:13" x14ac:dyDescent="0.25">
      <c r="A24" t="s">
        <v>32</v>
      </c>
      <c r="B24">
        <v>81</v>
      </c>
      <c r="C24" t="s">
        <v>4</v>
      </c>
      <c r="D24">
        <v>1</v>
      </c>
      <c r="E24">
        <v>96</v>
      </c>
      <c r="F24">
        <v>4.8805370000000003</v>
      </c>
      <c r="G24">
        <v>12</v>
      </c>
      <c r="H24" t="s">
        <v>11</v>
      </c>
      <c r="I24" t="s">
        <v>13</v>
      </c>
      <c r="J24" t="s">
        <v>12</v>
      </c>
      <c r="K24">
        <v>0.75</v>
      </c>
      <c r="L24" t="s">
        <v>17</v>
      </c>
      <c r="M24" t="s">
        <v>16</v>
      </c>
    </row>
    <row r="25" spans="1:13" x14ac:dyDescent="0.25">
      <c r="A25" t="s">
        <v>32</v>
      </c>
      <c r="B25">
        <v>81</v>
      </c>
      <c r="C25" t="s">
        <v>4</v>
      </c>
      <c r="D25">
        <v>1</v>
      </c>
      <c r="E25">
        <v>144</v>
      </c>
      <c r="F25">
        <v>2.5449665000000001</v>
      </c>
      <c r="G25">
        <v>12</v>
      </c>
      <c r="H25" t="s">
        <v>11</v>
      </c>
      <c r="I25" t="s">
        <v>13</v>
      </c>
      <c r="J25" t="s">
        <v>12</v>
      </c>
      <c r="K25">
        <v>0.75</v>
      </c>
      <c r="L25" t="s">
        <v>17</v>
      </c>
      <c r="M25" t="s">
        <v>16</v>
      </c>
    </row>
    <row r="26" spans="1:13" x14ac:dyDescent="0.25">
      <c r="A26" t="s">
        <v>32</v>
      </c>
      <c r="B26">
        <v>81</v>
      </c>
      <c r="C26" t="s">
        <v>4</v>
      </c>
      <c r="D26">
        <v>1</v>
      </c>
      <c r="E26">
        <v>192</v>
      </c>
      <c r="F26">
        <v>0.91006714</v>
      </c>
      <c r="G26">
        <v>12</v>
      </c>
      <c r="H26" t="s">
        <v>11</v>
      </c>
      <c r="I26" t="s">
        <v>13</v>
      </c>
      <c r="J26" t="s">
        <v>12</v>
      </c>
      <c r="K26">
        <v>0.75</v>
      </c>
      <c r="L26" t="s">
        <v>17</v>
      </c>
      <c r="M26" t="s">
        <v>16</v>
      </c>
    </row>
    <row r="27" spans="1:13" x14ac:dyDescent="0.25">
      <c r="A27" t="s">
        <v>32</v>
      </c>
      <c r="B27">
        <v>81</v>
      </c>
      <c r="C27" t="s">
        <v>4</v>
      </c>
      <c r="D27">
        <v>1</v>
      </c>
      <c r="E27">
        <v>240</v>
      </c>
      <c r="F27">
        <v>0.24832214</v>
      </c>
      <c r="G27">
        <v>12</v>
      </c>
      <c r="H27" t="s">
        <v>11</v>
      </c>
      <c r="I27" t="s">
        <v>13</v>
      </c>
      <c r="J27" t="s">
        <v>12</v>
      </c>
      <c r="K27">
        <v>0.75</v>
      </c>
      <c r="L27" t="s">
        <v>17</v>
      </c>
      <c r="M27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37A-9DE6-4E69-8F5B-6E3F121097C1}">
  <dimension ref="A1:M34"/>
  <sheetViews>
    <sheetView workbookViewId="0">
      <selection activeCell="F3" sqref="F3"/>
    </sheetView>
  </sheetViews>
  <sheetFormatPr defaultRowHeight="15" x14ac:dyDescent="0.25"/>
  <cols>
    <col min="16" max="16" width="12" bestFit="1" customWidth="1"/>
  </cols>
  <sheetData>
    <row r="1" spans="1:13" x14ac:dyDescent="0.25">
      <c r="A1" t="s">
        <v>0</v>
      </c>
      <c r="B1" t="s">
        <v>23</v>
      </c>
      <c r="C1" t="s">
        <v>3</v>
      </c>
      <c r="D1" t="s">
        <v>18</v>
      </c>
      <c r="E1" t="s">
        <v>5</v>
      </c>
      <c r="F1" t="s">
        <v>35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</row>
    <row r="2" spans="1:13" x14ac:dyDescent="0.25">
      <c r="A2" t="s">
        <v>19</v>
      </c>
      <c r="B2">
        <v>162</v>
      </c>
      <c r="C2" t="s">
        <v>4</v>
      </c>
      <c r="D2">
        <v>1</v>
      </c>
      <c r="E2">
        <v>0</v>
      </c>
      <c r="F2">
        <v>0.80473372781065089</v>
      </c>
      <c r="G2">
        <v>12</v>
      </c>
      <c r="H2" t="s">
        <v>11</v>
      </c>
      <c r="I2" t="s">
        <v>13</v>
      </c>
      <c r="J2" t="s">
        <v>12</v>
      </c>
      <c r="K2">
        <v>0.75</v>
      </c>
      <c r="L2" t="s">
        <v>17</v>
      </c>
      <c r="M2" t="s">
        <v>16</v>
      </c>
    </row>
    <row r="3" spans="1:13" x14ac:dyDescent="0.25">
      <c r="A3" t="s">
        <v>19</v>
      </c>
      <c r="B3">
        <v>162</v>
      </c>
      <c r="C3" t="s">
        <v>4</v>
      </c>
      <c r="D3">
        <v>1</v>
      </c>
      <c r="E3">
        <v>8</v>
      </c>
      <c r="F3">
        <v>1.0107802840236686</v>
      </c>
      <c r="G3">
        <v>12</v>
      </c>
      <c r="H3" t="s">
        <v>11</v>
      </c>
      <c r="I3" t="s">
        <v>13</v>
      </c>
      <c r="J3" t="s">
        <v>12</v>
      </c>
      <c r="K3">
        <v>0.75</v>
      </c>
      <c r="L3" t="s">
        <v>17</v>
      </c>
      <c r="M3" t="s">
        <v>16</v>
      </c>
    </row>
    <row r="4" spans="1:13" x14ac:dyDescent="0.25">
      <c r="A4" t="s">
        <v>19</v>
      </c>
      <c r="B4">
        <v>162</v>
      </c>
      <c r="C4" t="s">
        <v>4</v>
      </c>
      <c r="D4">
        <v>1</v>
      </c>
      <c r="E4">
        <v>12</v>
      </c>
      <c r="F4">
        <v>1.2194907218934912</v>
      </c>
      <c r="G4">
        <v>12</v>
      </c>
      <c r="H4" t="s">
        <v>11</v>
      </c>
      <c r="I4" t="s">
        <v>13</v>
      </c>
      <c r="J4" t="s">
        <v>12</v>
      </c>
      <c r="K4">
        <v>0.75</v>
      </c>
      <c r="L4" t="s">
        <v>17</v>
      </c>
      <c r="M4" t="s">
        <v>16</v>
      </c>
    </row>
    <row r="5" spans="1:13" x14ac:dyDescent="0.25">
      <c r="A5" t="s">
        <v>19</v>
      </c>
      <c r="B5">
        <v>162</v>
      </c>
      <c r="C5" t="s">
        <v>4</v>
      </c>
      <c r="D5">
        <v>1</v>
      </c>
      <c r="E5">
        <v>24</v>
      </c>
      <c r="F5">
        <v>1.7543337278106508</v>
      </c>
      <c r="G5">
        <v>12</v>
      </c>
      <c r="H5" t="s">
        <v>11</v>
      </c>
      <c r="I5" t="s">
        <v>13</v>
      </c>
      <c r="J5" t="s">
        <v>12</v>
      </c>
      <c r="K5">
        <v>0.75</v>
      </c>
      <c r="L5" t="s">
        <v>17</v>
      </c>
      <c r="M5" t="s">
        <v>16</v>
      </c>
    </row>
    <row r="6" spans="1:13" x14ac:dyDescent="0.25">
      <c r="A6" t="s">
        <v>19</v>
      </c>
      <c r="B6">
        <v>162</v>
      </c>
      <c r="C6" t="s">
        <v>4</v>
      </c>
      <c r="D6">
        <v>1</v>
      </c>
      <c r="E6">
        <v>36</v>
      </c>
      <c r="F6">
        <v>2.3543749112426036</v>
      </c>
      <c r="G6">
        <v>12</v>
      </c>
      <c r="H6" t="s">
        <v>11</v>
      </c>
      <c r="I6" t="s">
        <v>13</v>
      </c>
      <c r="J6" t="s">
        <v>12</v>
      </c>
      <c r="K6">
        <v>0.75</v>
      </c>
      <c r="L6" t="s">
        <v>17</v>
      </c>
      <c r="M6" t="s">
        <v>16</v>
      </c>
    </row>
    <row r="7" spans="1:13" x14ac:dyDescent="0.25">
      <c r="A7" t="s">
        <v>19</v>
      </c>
      <c r="B7">
        <v>162</v>
      </c>
      <c r="C7" t="s">
        <v>4</v>
      </c>
      <c r="D7">
        <v>1</v>
      </c>
      <c r="E7">
        <v>48</v>
      </c>
      <c r="F7">
        <v>2.7262106508875741</v>
      </c>
      <c r="G7">
        <v>12</v>
      </c>
      <c r="H7" t="s">
        <v>11</v>
      </c>
      <c r="I7" t="s">
        <v>13</v>
      </c>
      <c r="J7" t="s">
        <v>12</v>
      </c>
      <c r="K7">
        <v>0.75</v>
      </c>
      <c r="L7" t="s">
        <v>17</v>
      </c>
      <c r="M7" t="s">
        <v>16</v>
      </c>
    </row>
    <row r="8" spans="1:13" x14ac:dyDescent="0.25">
      <c r="A8" t="s">
        <v>19</v>
      </c>
      <c r="B8">
        <v>162</v>
      </c>
      <c r="C8" t="s">
        <v>4</v>
      </c>
      <c r="D8">
        <v>1</v>
      </c>
      <c r="E8">
        <v>72</v>
      </c>
      <c r="F8">
        <v>3.6068170414201188</v>
      </c>
      <c r="G8">
        <v>12</v>
      </c>
      <c r="H8" t="s">
        <v>11</v>
      </c>
      <c r="I8" t="s">
        <v>13</v>
      </c>
      <c r="J8" t="s">
        <v>12</v>
      </c>
      <c r="K8">
        <v>0.75</v>
      </c>
      <c r="L8" t="s">
        <v>17</v>
      </c>
      <c r="M8" t="s">
        <v>16</v>
      </c>
    </row>
    <row r="9" spans="1:13" x14ac:dyDescent="0.25">
      <c r="A9" t="s">
        <v>19</v>
      </c>
      <c r="B9">
        <v>162</v>
      </c>
      <c r="C9" t="s">
        <v>4</v>
      </c>
      <c r="D9">
        <v>1</v>
      </c>
      <c r="E9">
        <v>96</v>
      </c>
      <c r="F9">
        <v>4.1353143195266266</v>
      </c>
      <c r="G9">
        <v>12</v>
      </c>
      <c r="H9" t="s">
        <v>11</v>
      </c>
      <c r="I9" t="s">
        <v>13</v>
      </c>
      <c r="J9" t="s">
        <v>12</v>
      </c>
      <c r="K9">
        <v>0.75</v>
      </c>
      <c r="L9" t="s">
        <v>17</v>
      </c>
      <c r="M9" t="s">
        <v>16</v>
      </c>
    </row>
    <row r="10" spans="1:13" x14ac:dyDescent="0.25">
      <c r="A10" t="s">
        <v>19</v>
      </c>
      <c r="B10">
        <v>162</v>
      </c>
      <c r="C10" t="s">
        <v>4</v>
      </c>
      <c r="D10">
        <v>1</v>
      </c>
      <c r="E10">
        <v>144</v>
      </c>
      <c r="F10">
        <v>5.3292568047337276</v>
      </c>
      <c r="G10">
        <v>12</v>
      </c>
      <c r="H10" t="s">
        <v>11</v>
      </c>
      <c r="I10" t="s">
        <v>13</v>
      </c>
      <c r="J10" t="s">
        <v>12</v>
      </c>
      <c r="K10">
        <v>0.75</v>
      </c>
      <c r="L10" t="s">
        <v>17</v>
      </c>
      <c r="M10" t="s">
        <v>16</v>
      </c>
    </row>
    <row r="11" spans="1:13" x14ac:dyDescent="0.25">
      <c r="A11" t="s">
        <v>19</v>
      </c>
      <c r="B11">
        <v>162</v>
      </c>
      <c r="C11" t="s">
        <v>4</v>
      </c>
      <c r="D11">
        <v>1</v>
      </c>
      <c r="E11">
        <v>192</v>
      </c>
      <c r="F11">
        <v>5.8842026035502961</v>
      </c>
      <c r="G11">
        <v>12</v>
      </c>
      <c r="H11" t="s">
        <v>11</v>
      </c>
      <c r="I11" t="s">
        <v>13</v>
      </c>
      <c r="J11" t="s">
        <v>12</v>
      </c>
      <c r="K11">
        <v>0.75</v>
      </c>
      <c r="L11" t="s">
        <v>17</v>
      </c>
      <c r="M11" t="s">
        <v>16</v>
      </c>
    </row>
    <row r="12" spans="1:13" x14ac:dyDescent="0.25">
      <c r="A12" t="s">
        <v>19</v>
      </c>
      <c r="B12">
        <v>162</v>
      </c>
      <c r="C12" t="s">
        <v>4</v>
      </c>
      <c r="D12">
        <v>1</v>
      </c>
      <c r="E12">
        <v>240</v>
      </c>
      <c r="F12">
        <v>6.6869365680473374</v>
      </c>
      <c r="G12">
        <v>12</v>
      </c>
      <c r="H12" t="s">
        <v>11</v>
      </c>
      <c r="I12" t="s">
        <v>13</v>
      </c>
      <c r="J12" t="s">
        <v>12</v>
      </c>
      <c r="K12">
        <v>0.75</v>
      </c>
      <c r="L12" t="s">
        <v>17</v>
      </c>
      <c r="M12" t="s">
        <v>16</v>
      </c>
    </row>
    <row r="13" spans="1:13" x14ac:dyDescent="0.25">
      <c r="A13" t="s">
        <v>19</v>
      </c>
      <c r="B13">
        <v>162</v>
      </c>
      <c r="C13" t="s">
        <v>4</v>
      </c>
      <c r="D13">
        <v>1</v>
      </c>
      <c r="E13">
        <v>288</v>
      </c>
      <c r="F13">
        <v>6.9615060355029588</v>
      </c>
      <c r="G13">
        <v>12</v>
      </c>
      <c r="H13" t="s">
        <v>11</v>
      </c>
      <c r="I13" t="s">
        <v>13</v>
      </c>
      <c r="J13" t="s">
        <v>12</v>
      </c>
      <c r="K13">
        <v>0.75</v>
      </c>
      <c r="L13" t="s">
        <v>17</v>
      </c>
      <c r="M13" t="s">
        <v>16</v>
      </c>
    </row>
    <row r="14" spans="1:13" x14ac:dyDescent="0.25">
      <c r="A14" t="s">
        <v>19</v>
      </c>
      <c r="B14">
        <v>162</v>
      </c>
      <c r="C14" t="s">
        <v>4</v>
      </c>
      <c r="D14">
        <v>1</v>
      </c>
      <c r="E14">
        <v>336</v>
      </c>
      <c r="F14">
        <v>6.2124066272189351</v>
      </c>
      <c r="G14">
        <v>12</v>
      </c>
      <c r="H14" t="s">
        <v>11</v>
      </c>
      <c r="I14" t="s">
        <v>13</v>
      </c>
      <c r="J14" t="s">
        <v>12</v>
      </c>
      <c r="K14">
        <v>0.75</v>
      </c>
      <c r="L14" t="s">
        <v>17</v>
      </c>
      <c r="M14" t="s">
        <v>16</v>
      </c>
    </row>
    <row r="15" spans="1:13" x14ac:dyDescent="0.25">
      <c r="A15" t="s">
        <v>19</v>
      </c>
      <c r="B15">
        <v>162</v>
      </c>
      <c r="C15" t="s">
        <v>4</v>
      </c>
      <c r="D15">
        <v>1</v>
      </c>
      <c r="E15">
        <v>384</v>
      </c>
      <c r="F15">
        <v>4.7656279289940828</v>
      </c>
      <c r="G15">
        <v>12</v>
      </c>
      <c r="H15" t="s">
        <v>11</v>
      </c>
      <c r="I15" t="s">
        <v>13</v>
      </c>
      <c r="J15" t="s">
        <v>12</v>
      </c>
      <c r="K15">
        <v>0.75</v>
      </c>
      <c r="L15" t="s">
        <v>17</v>
      </c>
      <c r="M15" t="s">
        <v>16</v>
      </c>
    </row>
    <row r="16" spans="1:13" x14ac:dyDescent="0.25">
      <c r="A16" t="s">
        <v>19</v>
      </c>
      <c r="B16">
        <v>162</v>
      </c>
      <c r="C16" t="s">
        <v>4</v>
      </c>
      <c r="D16">
        <v>1</v>
      </c>
      <c r="E16">
        <v>432</v>
      </c>
      <c r="F16">
        <v>3.2992837869822487</v>
      </c>
      <c r="G16">
        <v>12</v>
      </c>
      <c r="H16" t="s">
        <v>11</v>
      </c>
      <c r="I16" t="s">
        <v>13</v>
      </c>
      <c r="J16" t="s">
        <v>12</v>
      </c>
      <c r="K16">
        <v>0.75</v>
      </c>
      <c r="L16" t="s">
        <v>17</v>
      </c>
      <c r="M16" t="s">
        <v>16</v>
      </c>
    </row>
    <row r="17" spans="1:13" x14ac:dyDescent="0.25">
      <c r="A17" t="s">
        <v>19</v>
      </c>
      <c r="B17">
        <v>162</v>
      </c>
      <c r="C17" t="s">
        <v>4</v>
      </c>
      <c r="D17">
        <v>1</v>
      </c>
      <c r="E17">
        <v>480</v>
      </c>
      <c r="F17">
        <v>2.2176281656804733</v>
      </c>
      <c r="G17">
        <v>12</v>
      </c>
      <c r="H17" t="s">
        <v>11</v>
      </c>
      <c r="I17" t="s">
        <v>13</v>
      </c>
      <c r="J17" t="s">
        <v>12</v>
      </c>
      <c r="K17">
        <v>0.75</v>
      </c>
      <c r="L17" t="s">
        <v>17</v>
      </c>
      <c r="M17" t="s">
        <v>16</v>
      </c>
    </row>
    <row r="18" spans="1:13" x14ac:dyDescent="0.25">
      <c r="A18" t="s">
        <v>19</v>
      </c>
      <c r="B18">
        <v>162</v>
      </c>
      <c r="C18" t="s">
        <v>4</v>
      </c>
      <c r="D18">
        <v>1</v>
      </c>
      <c r="E18">
        <v>576</v>
      </c>
      <c r="F18">
        <v>1.130195124260355</v>
      </c>
      <c r="G18">
        <v>12</v>
      </c>
      <c r="H18" t="s">
        <v>11</v>
      </c>
      <c r="I18" t="s">
        <v>13</v>
      </c>
      <c r="J18" t="s">
        <v>12</v>
      </c>
      <c r="K18">
        <v>0.75</v>
      </c>
      <c r="L18" t="s">
        <v>17</v>
      </c>
      <c r="M18" t="s">
        <v>16</v>
      </c>
    </row>
    <row r="19" spans="1:13" x14ac:dyDescent="0.25">
      <c r="A19" t="s">
        <v>20</v>
      </c>
      <c r="B19">
        <v>81</v>
      </c>
      <c r="C19" t="s">
        <v>4</v>
      </c>
      <c r="D19">
        <v>1</v>
      </c>
      <c r="E19">
        <v>8</v>
      </c>
      <c r="F19">
        <v>1.2715656331360945</v>
      </c>
      <c r="G19">
        <v>12</v>
      </c>
      <c r="H19" t="s">
        <v>11</v>
      </c>
      <c r="I19" t="s">
        <v>13</v>
      </c>
      <c r="J19" t="s">
        <v>12</v>
      </c>
      <c r="K19">
        <v>0.75</v>
      </c>
      <c r="L19" t="s">
        <v>17</v>
      </c>
      <c r="M19" t="s">
        <v>16</v>
      </c>
    </row>
    <row r="20" spans="1:13" x14ac:dyDescent="0.25">
      <c r="A20" t="s">
        <v>20</v>
      </c>
      <c r="B20">
        <v>81</v>
      </c>
      <c r="C20" t="s">
        <v>4</v>
      </c>
      <c r="D20">
        <v>1</v>
      </c>
      <c r="E20">
        <v>12</v>
      </c>
      <c r="F20">
        <v>1.4542124260355029</v>
      </c>
      <c r="G20">
        <v>12</v>
      </c>
      <c r="H20" t="s">
        <v>11</v>
      </c>
      <c r="I20" t="s">
        <v>13</v>
      </c>
      <c r="J20" t="s">
        <v>12</v>
      </c>
      <c r="K20">
        <v>0.75</v>
      </c>
      <c r="L20" t="s">
        <v>17</v>
      </c>
      <c r="M20" t="s">
        <v>16</v>
      </c>
    </row>
    <row r="21" spans="1:13" x14ac:dyDescent="0.25">
      <c r="A21" t="s">
        <v>20</v>
      </c>
      <c r="B21">
        <v>81</v>
      </c>
      <c r="C21" t="s">
        <v>4</v>
      </c>
      <c r="D21">
        <v>1</v>
      </c>
      <c r="E21">
        <v>24</v>
      </c>
      <c r="F21">
        <v>2.0803436686390531</v>
      </c>
      <c r="G21">
        <v>12</v>
      </c>
      <c r="H21" t="s">
        <v>11</v>
      </c>
      <c r="I21" t="s">
        <v>13</v>
      </c>
      <c r="J21" t="s">
        <v>12</v>
      </c>
      <c r="K21">
        <v>0.75</v>
      </c>
      <c r="L21" t="s">
        <v>17</v>
      </c>
      <c r="M21" t="s">
        <v>16</v>
      </c>
    </row>
    <row r="22" spans="1:13" x14ac:dyDescent="0.25">
      <c r="A22" t="s">
        <v>20</v>
      </c>
      <c r="B22">
        <v>81</v>
      </c>
      <c r="C22" t="s">
        <v>4</v>
      </c>
      <c r="D22">
        <v>1</v>
      </c>
      <c r="E22">
        <v>36</v>
      </c>
      <c r="F22">
        <v>2.6217157396449702</v>
      </c>
      <c r="G22">
        <v>12</v>
      </c>
      <c r="H22" t="s">
        <v>11</v>
      </c>
      <c r="I22" t="s">
        <v>13</v>
      </c>
      <c r="J22" t="s">
        <v>12</v>
      </c>
      <c r="K22">
        <v>0.75</v>
      </c>
      <c r="L22" t="s">
        <v>17</v>
      </c>
      <c r="M22" t="s">
        <v>16</v>
      </c>
    </row>
    <row r="23" spans="1:13" x14ac:dyDescent="0.25">
      <c r="A23" t="s">
        <v>20</v>
      </c>
      <c r="B23">
        <v>81</v>
      </c>
      <c r="C23" t="s">
        <v>4</v>
      </c>
      <c r="D23">
        <v>1</v>
      </c>
      <c r="E23">
        <v>48</v>
      </c>
      <c r="F23">
        <v>3.1956757396449706</v>
      </c>
      <c r="G23">
        <v>12</v>
      </c>
      <c r="H23" t="s">
        <v>11</v>
      </c>
      <c r="I23" t="s">
        <v>13</v>
      </c>
      <c r="J23" t="s">
        <v>12</v>
      </c>
      <c r="K23">
        <v>0.75</v>
      </c>
      <c r="L23" t="s">
        <v>17</v>
      </c>
      <c r="M23" t="s">
        <v>16</v>
      </c>
    </row>
    <row r="24" spans="1:13" x14ac:dyDescent="0.25">
      <c r="A24" t="s">
        <v>20</v>
      </c>
      <c r="B24">
        <v>81</v>
      </c>
      <c r="C24" t="s">
        <v>4</v>
      </c>
      <c r="D24">
        <v>1</v>
      </c>
      <c r="E24">
        <v>72</v>
      </c>
      <c r="F24">
        <v>3.8806691124260353</v>
      </c>
      <c r="G24">
        <v>12</v>
      </c>
      <c r="H24" t="s">
        <v>11</v>
      </c>
      <c r="I24" t="s">
        <v>13</v>
      </c>
      <c r="J24" t="s">
        <v>12</v>
      </c>
      <c r="K24">
        <v>0.75</v>
      </c>
      <c r="L24" t="s">
        <v>17</v>
      </c>
      <c r="M24" t="s">
        <v>16</v>
      </c>
    </row>
    <row r="25" spans="1:13" x14ac:dyDescent="0.25">
      <c r="A25" t="s">
        <v>20</v>
      </c>
      <c r="B25">
        <v>81</v>
      </c>
      <c r="C25" t="s">
        <v>4</v>
      </c>
      <c r="D25">
        <v>1</v>
      </c>
      <c r="E25">
        <v>96</v>
      </c>
      <c r="F25">
        <v>4.4743734911242603</v>
      </c>
      <c r="G25">
        <v>12</v>
      </c>
      <c r="H25" t="s">
        <v>11</v>
      </c>
      <c r="I25" t="s">
        <v>13</v>
      </c>
      <c r="J25" t="s">
        <v>12</v>
      </c>
      <c r="K25">
        <v>0.75</v>
      </c>
      <c r="L25" t="s">
        <v>17</v>
      </c>
      <c r="M25" t="s">
        <v>16</v>
      </c>
    </row>
    <row r="26" spans="1:13" x14ac:dyDescent="0.25">
      <c r="A26" t="s">
        <v>20</v>
      </c>
      <c r="B26">
        <v>81</v>
      </c>
      <c r="C26" t="s">
        <v>4</v>
      </c>
      <c r="D26">
        <v>1</v>
      </c>
      <c r="E26">
        <v>144</v>
      </c>
      <c r="F26">
        <v>5.5183498224852077</v>
      </c>
      <c r="G26">
        <v>12</v>
      </c>
      <c r="H26" t="s">
        <v>11</v>
      </c>
      <c r="I26" t="s">
        <v>13</v>
      </c>
      <c r="J26" t="s">
        <v>12</v>
      </c>
      <c r="K26">
        <v>0.75</v>
      </c>
      <c r="L26" t="s">
        <v>17</v>
      </c>
      <c r="M26" t="s">
        <v>16</v>
      </c>
    </row>
    <row r="27" spans="1:13" x14ac:dyDescent="0.25">
      <c r="A27" t="s">
        <v>20</v>
      </c>
      <c r="B27">
        <v>81</v>
      </c>
      <c r="C27" t="s">
        <v>4</v>
      </c>
      <c r="D27">
        <v>1</v>
      </c>
      <c r="E27">
        <v>192</v>
      </c>
      <c r="F27">
        <v>4.6257957396449711</v>
      </c>
      <c r="G27">
        <v>12</v>
      </c>
      <c r="H27" t="s">
        <v>11</v>
      </c>
      <c r="I27" t="s">
        <v>13</v>
      </c>
      <c r="J27" t="s">
        <v>12</v>
      </c>
      <c r="K27">
        <v>0.75</v>
      </c>
      <c r="L27" t="s">
        <v>17</v>
      </c>
      <c r="M27" t="s">
        <v>16</v>
      </c>
    </row>
    <row r="28" spans="1:13" x14ac:dyDescent="0.25">
      <c r="A28" t="s">
        <v>20</v>
      </c>
      <c r="B28">
        <v>81</v>
      </c>
      <c r="C28" t="s">
        <v>4</v>
      </c>
      <c r="D28">
        <v>1</v>
      </c>
      <c r="E28">
        <v>240</v>
      </c>
      <c r="F28">
        <v>3.5637095857988168</v>
      </c>
      <c r="G28">
        <v>12</v>
      </c>
      <c r="H28" t="s">
        <v>11</v>
      </c>
      <c r="I28" t="s">
        <v>13</v>
      </c>
      <c r="J28" t="s">
        <v>12</v>
      </c>
      <c r="K28">
        <v>0.75</v>
      </c>
      <c r="L28" t="s">
        <v>17</v>
      </c>
      <c r="M28" t="s">
        <v>16</v>
      </c>
    </row>
    <row r="29" spans="1:13" x14ac:dyDescent="0.25">
      <c r="A29" t="s">
        <v>20</v>
      </c>
      <c r="B29">
        <v>81</v>
      </c>
      <c r="C29" t="s">
        <v>4</v>
      </c>
      <c r="D29">
        <v>1</v>
      </c>
      <c r="E29">
        <v>288</v>
      </c>
      <c r="F29">
        <v>2.4233887810650887</v>
      </c>
      <c r="G29">
        <v>12</v>
      </c>
      <c r="H29" t="s">
        <v>11</v>
      </c>
      <c r="I29" t="s">
        <v>13</v>
      </c>
      <c r="J29" t="s">
        <v>12</v>
      </c>
      <c r="K29">
        <v>0.75</v>
      </c>
      <c r="L29" t="s">
        <v>17</v>
      </c>
      <c r="M29" t="s">
        <v>16</v>
      </c>
    </row>
    <row r="30" spans="1:13" x14ac:dyDescent="0.25">
      <c r="A30" t="s">
        <v>20</v>
      </c>
      <c r="B30">
        <v>81</v>
      </c>
      <c r="C30" t="s">
        <v>4</v>
      </c>
      <c r="D30">
        <v>1</v>
      </c>
      <c r="E30">
        <v>336</v>
      </c>
      <c r="F30">
        <v>1.6677604733727811</v>
      </c>
      <c r="G30">
        <v>12</v>
      </c>
      <c r="H30" t="s">
        <v>11</v>
      </c>
      <c r="I30" t="s">
        <v>13</v>
      </c>
      <c r="J30" t="s">
        <v>12</v>
      </c>
      <c r="K30">
        <v>0.75</v>
      </c>
      <c r="L30" t="s">
        <v>17</v>
      </c>
      <c r="M30" t="s">
        <v>16</v>
      </c>
    </row>
    <row r="31" spans="1:13" x14ac:dyDescent="0.25">
      <c r="A31" t="s">
        <v>20</v>
      </c>
      <c r="B31">
        <v>81</v>
      </c>
      <c r="C31" t="s">
        <v>4</v>
      </c>
      <c r="D31">
        <v>1</v>
      </c>
      <c r="E31">
        <v>384</v>
      </c>
      <c r="F31">
        <v>1.1729396449704141</v>
      </c>
      <c r="G31">
        <v>12</v>
      </c>
      <c r="H31" t="s">
        <v>11</v>
      </c>
      <c r="I31" t="s">
        <v>13</v>
      </c>
      <c r="J31" t="s">
        <v>12</v>
      </c>
      <c r="K31">
        <v>0.75</v>
      </c>
      <c r="L31" t="s">
        <v>17</v>
      </c>
      <c r="M31" t="s">
        <v>16</v>
      </c>
    </row>
    <row r="32" spans="1:13" x14ac:dyDescent="0.25">
      <c r="A32" t="s">
        <v>20</v>
      </c>
      <c r="B32">
        <v>81</v>
      </c>
      <c r="C32" t="s">
        <v>4</v>
      </c>
      <c r="D32">
        <v>1</v>
      </c>
      <c r="E32">
        <v>432</v>
      </c>
      <c r="F32">
        <v>1.0497753846153846</v>
      </c>
      <c r="G32">
        <v>12</v>
      </c>
      <c r="H32" t="s">
        <v>11</v>
      </c>
      <c r="I32" t="s">
        <v>13</v>
      </c>
      <c r="J32" t="s">
        <v>12</v>
      </c>
      <c r="K32">
        <v>0.75</v>
      </c>
      <c r="L32" t="s">
        <v>17</v>
      </c>
      <c r="M32" t="s">
        <v>16</v>
      </c>
    </row>
    <row r="33" spans="1:13" x14ac:dyDescent="0.25">
      <c r="A33" t="s">
        <v>20</v>
      </c>
      <c r="B33">
        <v>81</v>
      </c>
      <c r="C33" t="s">
        <v>4</v>
      </c>
      <c r="D33">
        <v>1</v>
      </c>
      <c r="E33">
        <v>480</v>
      </c>
      <c r="F33">
        <v>0.90705439053254433</v>
      </c>
      <c r="G33">
        <v>12</v>
      </c>
      <c r="H33" t="s">
        <v>11</v>
      </c>
      <c r="I33" t="s">
        <v>13</v>
      </c>
      <c r="J33" t="s">
        <v>12</v>
      </c>
      <c r="K33">
        <v>0.75</v>
      </c>
      <c r="L33" t="s">
        <v>17</v>
      </c>
      <c r="M33" t="s">
        <v>16</v>
      </c>
    </row>
    <row r="34" spans="1:13" x14ac:dyDescent="0.25">
      <c r="A34" t="s">
        <v>20</v>
      </c>
      <c r="B34">
        <v>81</v>
      </c>
      <c r="C34" t="s">
        <v>4</v>
      </c>
      <c r="D34">
        <v>1</v>
      </c>
      <c r="E34">
        <v>576</v>
      </c>
      <c r="F34">
        <v>0.87589945562130178</v>
      </c>
      <c r="G34">
        <v>12</v>
      </c>
      <c r="H34" t="s">
        <v>11</v>
      </c>
      <c r="I34" t="s">
        <v>13</v>
      </c>
      <c r="J34" t="s">
        <v>12</v>
      </c>
      <c r="K34">
        <v>0.75</v>
      </c>
      <c r="L34" t="s">
        <v>17</v>
      </c>
      <c r="M3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490C-D455-4760-9D87-0CD43F4150FB}">
  <dimension ref="A1:K7"/>
  <sheetViews>
    <sheetView workbookViewId="0">
      <selection activeCell="A8" sqref="A8"/>
    </sheetView>
  </sheetViews>
  <sheetFormatPr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18</v>
      </c>
      <c r="E1" t="s">
        <v>5</v>
      </c>
      <c r="F1" t="s">
        <v>33</v>
      </c>
      <c r="G1" t="s">
        <v>34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30</v>
      </c>
      <c r="B2" t="s">
        <v>22</v>
      </c>
      <c r="C2" t="s">
        <v>4</v>
      </c>
      <c r="D2">
        <v>1</v>
      </c>
      <c r="E2">
        <v>336</v>
      </c>
      <c r="F2">
        <v>22.930686999999999</v>
      </c>
      <c r="G2">
        <v>11.924833</v>
      </c>
      <c r="H2">
        <v>11</v>
      </c>
      <c r="I2" t="s">
        <v>21</v>
      </c>
      <c r="J2" t="s">
        <v>13</v>
      </c>
      <c r="K2" t="s">
        <v>24</v>
      </c>
    </row>
    <row r="3" spans="1:11" x14ac:dyDescent="0.25">
      <c r="A3" t="s">
        <v>30</v>
      </c>
      <c r="B3" t="s">
        <v>22</v>
      </c>
      <c r="C3" t="s">
        <v>4</v>
      </c>
      <c r="D3">
        <v>1</v>
      </c>
      <c r="E3">
        <f>2*336</f>
        <v>672</v>
      </c>
      <c r="F3">
        <v>39.287190000000002</v>
      </c>
      <c r="G3">
        <v>18.215964999999997</v>
      </c>
      <c r="H3">
        <v>11</v>
      </c>
      <c r="I3" t="s">
        <v>21</v>
      </c>
      <c r="J3" t="s">
        <v>13</v>
      </c>
      <c r="K3" t="s">
        <v>25</v>
      </c>
    </row>
    <row r="4" spans="1:11" x14ac:dyDescent="0.25">
      <c r="A4" t="s">
        <v>30</v>
      </c>
      <c r="B4" t="s">
        <v>22</v>
      </c>
      <c r="C4" t="s">
        <v>4</v>
      </c>
      <c r="D4">
        <v>1</v>
      </c>
      <c r="E4">
        <f>6*168</f>
        <v>1008</v>
      </c>
      <c r="F4">
        <v>47.662680000000002</v>
      </c>
      <c r="G4">
        <v>22.816774000000002</v>
      </c>
      <c r="H4">
        <v>11</v>
      </c>
      <c r="I4" t="s">
        <v>21</v>
      </c>
      <c r="J4" t="s">
        <v>13</v>
      </c>
      <c r="K4" t="s">
        <v>26</v>
      </c>
    </row>
    <row r="5" spans="1:11" x14ac:dyDescent="0.25">
      <c r="A5" t="s">
        <v>30</v>
      </c>
      <c r="B5" t="s">
        <v>22</v>
      </c>
      <c r="C5" t="s">
        <v>4</v>
      </c>
      <c r="D5">
        <v>1</v>
      </c>
      <c r="E5">
        <f>8*168</f>
        <v>1344</v>
      </c>
      <c r="F5">
        <v>60.169677999999998</v>
      </c>
      <c r="G5">
        <v>20.281712000000006</v>
      </c>
      <c r="H5">
        <v>11</v>
      </c>
      <c r="I5" t="s">
        <v>21</v>
      </c>
      <c r="J5" t="s">
        <v>13</v>
      </c>
      <c r="K5" t="s">
        <v>27</v>
      </c>
    </row>
    <row r="6" spans="1:11" x14ac:dyDescent="0.25">
      <c r="A6" t="s">
        <v>30</v>
      </c>
      <c r="B6" t="s">
        <v>22</v>
      </c>
      <c r="C6" t="s">
        <v>4</v>
      </c>
      <c r="D6">
        <v>1</v>
      </c>
      <c r="E6">
        <f>10*168</f>
        <v>1680</v>
      </c>
      <c r="F6">
        <v>71.737549999999999</v>
      </c>
      <c r="G6">
        <v>28.638495000000006</v>
      </c>
      <c r="H6">
        <v>11</v>
      </c>
      <c r="I6" t="s">
        <v>21</v>
      </c>
      <c r="J6" t="s">
        <v>13</v>
      </c>
      <c r="K6" t="s">
        <v>28</v>
      </c>
    </row>
    <row r="7" spans="1:11" x14ac:dyDescent="0.25">
      <c r="A7" t="s">
        <v>30</v>
      </c>
      <c r="B7" t="s">
        <v>22</v>
      </c>
      <c r="C7" t="s">
        <v>4</v>
      </c>
      <c r="D7">
        <v>1</v>
      </c>
      <c r="E7">
        <f>12*168</f>
        <v>2016</v>
      </c>
      <c r="F7">
        <v>71.00488</v>
      </c>
      <c r="G7">
        <v>43.004639999999995</v>
      </c>
      <c r="H7">
        <v>11</v>
      </c>
      <c r="I7" t="s">
        <v>21</v>
      </c>
      <c r="J7" t="s">
        <v>13</v>
      </c>
      <c r="K7" t="s">
        <v>29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D3D7-BA73-43CE-BDF9-06CC19A801F7}">
  <dimension ref="A1:K6"/>
  <sheetViews>
    <sheetView workbookViewId="0">
      <selection activeCell="F6" sqref="F6"/>
    </sheetView>
  </sheetViews>
  <sheetFormatPr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18</v>
      </c>
      <c r="E1" t="s">
        <v>5</v>
      </c>
      <c r="F1" t="s">
        <v>35</v>
      </c>
      <c r="G1" t="s">
        <v>36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31</v>
      </c>
      <c r="B2" t="s">
        <v>22</v>
      </c>
      <c r="C2" t="s">
        <v>4</v>
      </c>
      <c r="D2">
        <v>1</v>
      </c>
      <c r="E2">
        <f>2*168</f>
        <v>336</v>
      </c>
      <c r="F2">
        <v>9.3424213017751487</v>
      </c>
      <c r="G2">
        <v>4.9365216568047332</v>
      </c>
      <c r="H2">
        <v>11</v>
      </c>
      <c r="I2" t="s">
        <v>21</v>
      </c>
      <c r="J2" t="s">
        <v>13</v>
      </c>
      <c r="K2" t="s">
        <v>29</v>
      </c>
    </row>
    <row r="3" spans="1:11" x14ac:dyDescent="0.25">
      <c r="A3" t="s">
        <v>31</v>
      </c>
      <c r="B3" t="s">
        <v>22</v>
      </c>
      <c r="C3" t="s">
        <v>4</v>
      </c>
      <c r="D3">
        <v>1</v>
      </c>
      <c r="E3">
        <f>4*168</f>
        <v>672</v>
      </c>
      <c r="F3">
        <v>15.621629585798818</v>
      </c>
      <c r="G3">
        <v>2.5343098224852056</v>
      </c>
      <c r="H3">
        <v>11</v>
      </c>
      <c r="I3" t="s">
        <v>21</v>
      </c>
      <c r="J3" t="s">
        <v>13</v>
      </c>
      <c r="K3" t="s">
        <v>29</v>
      </c>
    </row>
    <row r="4" spans="1:11" x14ac:dyDescent="0.25">
      <c r="A4" t="s">
        <v>31</v>
      </c>
      <c r="B4" t="s">
        <v>22</v>
      </c>
      <c r="C4" t="s">
        <v>4</v>
      </c>
      <c r="D4">
        <v>1</v>
      </c>
      <c r="E4">
        <f>6*168</f>
        <v>1008</v>
      </c>
      <c r="F4">
        <v>17.86793727810651</v>
      </c>
      <c r="G4">
        <v>2.7987869822485201</v>
      </c>
      <c r="H4">
        <v>11</v>
      </c>
      <c r="I4" t="s">
        <v>21</v>
      </c>
      <c r="J4" t="s">
        <v>13</v>
      </c>
      <c r="K4" t="s">
        <v>29</v>
      </c>
    </row>
    <row r="5" spans="1:11" x14ac:dyDescent="0.25">
      <c r="A5" t="s">
        <v>31</v>
      </c>
      <c r="B5" t="s">
        <v>22</v>
      </c>
      <c r="C5" t="s">
        <v>4</v>
      </c>
      <c r="D5">
        <v>1</v>
      </c>
      <c r="E5">
        <f>8*168</f>
        <v>1344</v>
      </c>
      <c r="F5">
        <v>20.444801183431952</v>
      </c>
      <c r="G5">
        <v>3.9888532544378665</v>
      </c>
      <c r="H5">
        <v>11</v>
      </c>
      <c r="I5" t="s">
        <v>21</v>
      </c>
      <c r="J5" t="s">
        <v>13</v>
      </c>
      <c r="K5" t="s">
        <v>29</v>
      </c>
    </row>
    <row r="6" spans="1:11" x14ac:dyDescent="0.25">
      <c r="A6" t="s">
        <v>31</v>
      </c>
      <c r="B6" t="s">
        <v>22</v>
      </c>
      <c r="C6" t="s">
        <v>4</v>
      </c>
      <c r="D6">
        <v>1</v>
      </c>
      <c r="E6">
        <f>1680</f>
        <v>1680</v>
      </c>
      <c r="F6">
        <v>21.853652781065087</v>
      </c>
      <c r="G6">
        <v>3.1954762130177543</v>
      </c>
      <c r="H6">
        <v>11</v>
      </c>
      <c r="I6" t="s">
        <v>21</v>
      </c>
      <c r="J6" t="s">
        <v>13</v>
      </c>
      <c r="K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6B67-53E0-49D3-9626-CE5FE4A4038C}">
  <dimension ref="A1:N31"/>
  <sheetViews>
    <sheetView workbookViewId="0">
      <selection activeCell="H2" sqref="H2:N2"/>
    </sheetView>
  </sheetViews>
  <sheetFormatPr defaultRowHeight="15" x14ac:dyDescent="0.25"/>
  <sheetData>
    <row r="1" spans="1:14" x14ac:dyDescent="0.25">
      <c r="A1" t="s">
        <v>0</v>
      </c>
      <c r="B1" t="s">
        <v>23</v>
      </c>
      <c r="C1" t="s">
        <v>3</v>
      </c>
      <c r="D1" t="s">
        <v>18</v>
      </c>
      <c r="E1" t="s">
        <v>5</v>
      </c>
      <c r="F1" t="s">
        <v>33</v>
      </c>
      <c r="G1" t="s">
        <v>34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</v>
      </c>
      <c r="N1" t="s">
        <v>15</v>
      </c>
    </row>
    <row r="2" spans="1:14" x14ac:dyDescent="0.25">
      <c r="A2" t="s">
        <v>39</v>
      </c>
      <c r="B2" t="s">
        <v>38</v>
      </c>
      <c r="C2" t="s">
        <v>4</v>
      </c>
      <c r="D2">
        <v>1</v>
      </c>
      <c r="E2">
        <v>1</v>
      </c>
      <c r="F2">
        <v>135.29997</v>
      </c>
      <c r="G2">
        <v>21.29149000000001</v>
      </c>
      <c r="H2">
        <v>25</v>
      </c>
      <c r="I2" t="s">
        <v>42</v>
      </c>
      <c r="J2" t="s">
        <v>13</v>
      </c>
      <c r="K2">
        <v>83</v>
      </c>
      <c r="L2">
        <f>1-0.86</f>
        <v>0.14000000000000001</v>
      </c>
      <c r="M2" t="s">
        <v>17</v>
      </c>
      <c r="N2" t="s">
        <v>41</v>
      </c>
    </row>
    <row r="3" spans="1:14" x14ac:dyDescent="0.25">
      <c r="A3" t="s">
        <v>39</v>
      </c>
      <c r="B3" t="s">
        <v>38</v>
      </c>
      <c r="C3" t="s">
        <v>4</v>
      </c>
      <c r="D3">
        <v>1</v>
      </c>
      <c r="E3">
        <v>8</v>
      </c>
      <c r="F3">
        <v>116.894684</v>
      </c>
      <c r="G3">
        <v>27.208435999999992</v>
      </c>
      <c r="H3">
        <v>25</v>
      </c>
      <c r="I3" t="s">
        <v>42</v>
      </c>
      <c r="J3" t="s">
        <v>13</v>
      </c>
      <c r="K3">
        <v>83</v>
      </c>
      <c r="L3">
        <f t="shared" ref="L3:L31" si="0">1-0.86</f>
        <v>0.14000000000000001</v>
      </c>
      <c r="M3" t="s">
        <v>17</v>
      </c>
      <c r="N3" t="s">
        <v>41</v>
      </c>
    </row>
    <row r="4" spans="1:14" x14ac:dyDescent="0.25">
      <c r="A4" t="s">
        <v>39</v>
      </c>
      <c r="B4" t="s">
        <v>38</v>
      </c>
      <c r="C4" t="s">
        <v>4</v>
      </c>
      <c r="D4">
        <v>1</v>
      </c>
      <c r="E4">
        <v>24</v>
      </c>
      <c r="F4">
        <v>99.985084999999998</v>
      </c>
      <c r="G4">
        <v>19.24588</v>
      </c>
      <c r="H4">
        <v>25</v>
      </c>
      <c r="I4" t="s">
        <v>42</v>
      </c>
      <c r="J4" t="s">
        <v>13</v>
      </c>
      <c r="K4">
        <v>83</v>
      </c>
      <c r="L4">
        <f t="shared" si="0"/>
        <v>0.14000000000000001</v>
      </c>
      <c r="M4" t="s">
        <v>17</v>
      </c>
      <c r="N4" t="s">
        <v>41</v>
      </c>
    </row>
    <row r="5" spans="1:14" x14ac:dyDescent="0.25">
      <c r="A5" t="s">
        <v>39</v>
      </c>
      <c r="B5" t="s">
        <v>38</v>
      </c>
      <c r="C5" t="s">
        <v>4</v>
      </c>
      <c r="D5">
        <v>1</v>
      </c>
      <c r="E5">
        <v>48</v>
      </c>
      <c r="F5">
        <v>74.132819999999995</v>
      </c>
      <c r="G5">
        <v>12.524870000000007</v>
      </c>
      <c r="H5">
        <v>25</v>
      </c>
      <c r="I5" t="s">
        <v>42</v>
      </c>
      <c r="J5" t="s">
        <v>13</v>
      </c>
      <c r="K5">
        <v>83</v>
      </c>
      <c r="L5">
        <f t="shared" si="0"/>
        <v>0.14000000000000001</v>
      </c>
      <c r="M5" t="s">
        <v>17</v>
      </c>
      <c r="N5" t="s">
        <v>41</v>
      </c>
    </row>
    <row r="6" spans="1:14" x14ac:dyDescent="0.25">
      <c r="A6" t="s">
        <v>39</v>
      </c>
      <c r="B6" t="s">
        <v>38</v>
      </c>
      <c r="C6" t="s">
        <v>4</v>
      </c>
      <c r="D6">
        <v>1</v>
      </c>
      <c r="E6">
        <v>72</v>
      </c>
      <c r="F6">
        <v>62.566437000000001</v>
      </c>
      <c r="G6">
        <v>12.042853000000001</v>
      </c>
      <c r="H6">
        <v>25</v>
      </c>
      <c r="I6" t="s">
        <v>42</v>
      </c>
      <c r="J6" t="s">
        <v>13</v>
      </c>
      <c r="K6">
        <v>83</v>
      </c>
      <c r="L6">
        <f t="shared" si="0"/>
        <v>0.14000000000000001</v>
      </c>
      <c r="M6" t="s">
        <v>17</v>
      </c>
      <c r="N6" t="s">
        <v>41</v>
      </c>
    </row>
    <row r="7" spans="1:14" x14ac:dyDescent="0.25">
      <c r="A7" t="s">
        <v>39</v>
      </c>
      <c r="B7" t="s">
        <v>38</v>
      </c>
      <c r="C7" t="s">
        <v>4</v>
      </c>
      <c r="D7">
        <v>1</v>
      </c>
      <c r="E7">
        <v>96</v>
      </c>
      <c r="F7">
        <v>54.587850000000003</v>
      </c>
      <c r="G7">
        <v>10.941159999999996</v>
      </c>
      <c r="H7">
        <v>25</v>
      </c>
      <c r="I7" t="s">
        <v>42</v>
      </c>
      <c r="J7" t="s">
        <v>13</v>
      </c>
      <c r="K7">
        <v>83</v>
      </c>
      <c r="L7">
        <f t="shared" si="0"/>
        <v>0.14000000000000001</v>
      </c>
      <c r="M7" t="s">
        <v>17</v>
      </c>
      <c r="N7" t="s">
        <v>41</v>
      </c>
    </row>
    <row r="8" spans="1:14" x14ac:dyDescent="0.25">
      <c r="A8" t="s">
        <v>39</v>
      </c>
      <c r="B8" t="s">
        <v>38</v>
      </c>
      <c r="C8" t="s">
        <v>4</v>
      </c>
      <c r="D8">
        <v>1</v>
      </c>
      <c r="E8">
        <v>120</v>
      </c>
      <c r="F8">
        <v>48.263812999999999</v>
      </c>
      <c r="G8">
        <v>10.839970000000001</v>
      </c>
      <c r="H8">
        <v>25</v>
      </c>
      <c r="I8" t="s">
        <v>42</v>
      </c>
      <c r="J8" t="s">
        <v>13</v>
      </c>
      <c r="K8">
        <v>83</v>
      </c>
      <c r="L8">
        <f t="shared" si="0"/>
        <v>0.14000000000000001</v>
      </c>
      <c r="M8" t="s">
        <v>17</v>
      </c>
      <c r="N8" t="s">
        <v>41</v>
      </c>
    </row>
    <row r="9" spans="1:14" x14ac:dyDescent="0.25">
      <c r="A9" t="s">
        <v>39</v>
      </c>
      <c r="B9" t="s">
        <v>38</v>
      </c>
      <c r="C9" t="s">
        <v>4</v>
      </c>
      <c r="D9">
        <v>1</v>
      </c>
      <c r="E9">
        <v>144</v>
      </c>
      <c r="F9">
        <v>43.96716</v>
      </c>
      <c r="G9">
        <v>10.41384</v>
      </c>
      <c r="H9">
        <v>25</v>
      </c>
      <c r="I9" t="s">
        <v>42</v>
      </c>
      <c r="J9" t="s">
        <v>13</v>
      </c>
      <c r="K9">
        <v>83</v>
      </c>
      <c r="L9">
        <f t="shared" si="0"/>
        <v>0.14000000000000001</v>
      </c>
      <c r="M9" t="s">
        <v>17</v>
      </c>
      <c r="N9" t="s">
        <v>41</v>
      </c>
    </row>
    <row r="10" spans="1:14" x14ac:dyDescent="0.25">
      <c r="A10" t="s">
        <v>39</v>
      </c>
      <c r="B10" t="s">
        <v>38</v>
      </c>
      <c r="C10" t="s">
        <v>4</v>
      </c>
      <c r="D10">
        <v>1</v>
      </c>
      <c r="E10">
        <v>192</v>
      </c>
      <c r="F10">
        <v>34.369827000000001</v>
      </c>
      <c r="G10">
        <v>10.759701</v>
      </c>
      <c r="H10">
        <v>25</v>
      </c>
      <c r="I10" t="s">
        <v>42</v>
      </c>
      <c r="J10" t="s">
        <v>13</v>
      </c>
      <c r="K10">
        <v>83</v>
      </c>
      <c r="L10">
        <f t="shared" si="0"/>
        <v>0.14000000000000001</v>
      </c>
      <c r="M10" t="s">
        <v>17</v>
      </c>
      <c r="N10" t="s">
        <v>41</v>
      </c>
    </row>
    <row r="11" spans="1:14" x14ac:dyDescent="0.25">
      <c r="A11" t="s">
        <v>39</v>
      </c>
      <c r="B11" t="s">
        <v>38</v>
      </c>
      <c r="C11" t="s">
        <v>4</v>
      </c>
      <c r="D11">
        <v>1</v>
      </c>
      <c r="E11">
        <v>240</v>
      </c>
      <c r="F11">
        <v>26.778566000000001</v>
      </c>
      <c r="G11">
        <v>10.425619000000001</v>
      </c>
      <c r="H11">
        <v>25</v>
      </c>
      <c r="I11" t="s">
        <v>42</v>
      </c>
      <c r="J11" t="s">
        <v>13</v>
      </c>
      <c r="K11">
        <v>83</v>
      </c>
      <c r="L11">
        <f t="shared" si="0"/>
        <v>0.14000000000000001</v>
      </c>
      <c r="M11" t="s">
        <v>17</v>
      </c>
      <c r="N11" t="s">
        <v>41</v>
      </c>
    </row>
    <row r="12" spans="1:14" x14ac:dyDescent="0.25">
      <c r="A12" t="s">
        <v>39</v>
      </c>
      <c r="B12" t="s">
        <v>38</v>
      </c>
      <c r="C12" t="s">
        <v>4</v>
      </c>
      <c r="D12">
        <v>1</v>
      </c>
      <c r="E12">
        <v>288</v>
      </c>
      <c r="F12">
        <v>23.126604</v>
      </c>
      <c r="G12">
        <v>7.954146999999999</v>
      </c>
      <c r="H12">
        <v>25</v>
      </c>
      <c r="I12" t="s">
        <v>42</v>
      </c>
      <c r="J12" t="s">
        <v>13</v>
      </c>
      <c r="K12">
        <v>83</v>
      </c>
      <c r="L12">
        <f t="shared" si="0"/>
        <v>0.14000000000000001</v>
      </c>
      <c r="M12" t="s">
        <v>17</v>
      </c>
      <c r="N12" t="s">
        <v>41</v>
      </c>
    </row>
    <row r="13" spans="1:14" x14ac:dyDescent="0.25">
      <c r="A13" t="s">
        <v>39</v>
      </c>
      <c r="B13" t="s">
        <v>38</v>
      </c>
      <c r="C13" t="s">
        <v>4</v>
      </c>
      <c r="D13">
        <v>1</v>
      </c>
      <c r="E13">
        <v>336</v>
      </c>
      <c r="F13">
        <v>19.001944000000002</v>
      </c>
      <c r="G13">
        <v>7.2233199999999975</v>
      </c>
      <c r="H13">
        <v>25</v>
      </c>
      <c r="I13" t="s">
        <v>42</v>
      </c>
      <c r="J13" t="s">
        <v>13</v>
      </c>
      <c r="K13">
        <v>83</v>
      </c>
      <c r="L13">
        <f t="shared" si="0"/>
        <v>0.14000000000000001</v>
      </c>
      <c r="M13" t="s">
        <v>17</v>
      </c>
      <c r="N13" t="s">
        <v>41</v>
      </c>
    </row>
    <row r="14" spans="1:14" x14ac:dyDescent="0.25">
      <c r="A14" t="s">
        <v>39</v>
      </c>
      <c r="B14" t="s">
        <v>38</v>
      </c>
      <c r="C14" t="s">
        <v>4</v>
      </c>
      <c r="D14">
        <v>1</v>
      </c>
      <c r="E14">
        <v>432</v>
      </c>
      <c r="F14">
        <v>11.084148000000001</v>
      </c>
      <c r="G14">
        <v>6.0993270000000006</v>
      </c>
      <c r="H14">
        <v>25</v>
      </c>
      <c r="I14" t="s">
        <v>42</v>
      </c>
      <c r="J14" t="s">
        <v>13</v>
      </c>
      <c r="K14">
        <v>83</v>
      </c>
      <c r="L14">
        <f t="shared" si="0"/>
        <v>0.14000000000000001</v>
      </c>
      <c r="M14" t="s">
        <v>17</v>
      </c>
      <c r="N14" t="s">
        <v>41</v>
      </c>
    </row>
    <row r="15" spans="1:14" x14ac:dyDescent="0.25">
      <c r="A15" t="s">
        <v>39</v>
      </c>
      <c r="B15" t="s">
        <v>38</v>
      </c>
      <c r="C15" t="s">
        <v>4</v>
      </c>
      <c r="D15">
        <v>1</v>
      </c>
      <c r="E15">
        <v>504</v>
      </c>
      <c r="F15">
        <v>6.9343724</v>
      </c>
      <c r="G15">
        <v>5.2619186000000004</v>
      </c>
      <c r="H15">
        <v>25</v>
      </c>
      <c r="I15" t="s">
        <v>42</v>
      </c>
      <c r="J15" t="s">
        <v>13</v>
      </c>
      <c r="K15">
        <v>83</v>
      </c>
      <c r="L15">
        <f t="shared" si="0"/>
        <v>0.14000000000000001</v>
      </c>
      <c r="M15" t="s">
        <v>17</v>
      </c>
      <c r="N15" t="s">
        <v>41</v>
      </c>
    </row>
    <row r="16" spans="1:14" x14ac:dyDescent="0.25">
      <c r="A16" t="s">
        <v>39</v>
      </c>
      <c r="B16" t="s">
        <v>38</v>
      </c>
      <c r="C16" t="s">
        <v>4</v>
      </c>
      <c r="D16">
        <v>1</v>
      </c>
      <c r="E16">
        <v>672</v>
      </c>
      <c r="F16">
        <v>1.4057032</v>
      </c>
      <c r="G16">
        <v>2.1927398</v>
      </c>
      <c r="H16">
        <v>25</v>
      </c>
      <c r="I16" t="s">
        <v>42</v>
      </c>
      <c r="J16" t="s">
        <v>13</v>
      </c>
      <c r="K16">
        <v>83</v>
      </c>
      <c r="L16">
        <f t="shared" si="0"/>
        <v>0.14000000000000001</v>
      </c>
      <c r="M16" t="s">
        <v>17</v>
      </c>
      <c r="N16" t="s">
        <v>41</v>
      </c>
    </row>
    <row r="17" spans="1:14" x14ac:dyDescent="0.25">
      <c r="A17" t="s">
        <v>40</v>
      </c>
      <c r="B17" t="s">
        <v>37</v>
      </c>
      <c r="C17" t="s">
        <v>4</v>
      </c>
      <c r="D17">
        <v>1</v>
      </c>
      <c r="E17">
        <v>1</v>
      </c>
      <c r="F17">
        <v>251.78104999999999</v>
      </c>
      <c r="G17">
        <v>44.50051000000002</v>
      </c>
      <c r="H17">
        <v>24</v>
      </c>
      <c r="I17" t="s">
        <v>42</v>
      </c>
      <c r="J17" t="s">
        <v>13</v>
      </c>
      <c r="K17">
        <v>83</v>
      </c>
      <c r="L17">
        <f t="shared" si="0"/>
        <v>0.14000000000000001</v>
      </c>
      <c r="M17" t="s">
        <v>17</v>
      </c>
      <c r="N17" t="s">
        <v>41</v>
      </c>
    </row>
    <row r="18" spans="1:14" x14ac:dyDescent="0.25">
      <c r="A18" t="s">
        <v>40</v>
      </c>
      <c r="B18" t="s">
        <v>37</v>
      </c>
      <c r="C18" t="s">
        <v>4</v>
      </c>
      <c r="D18">
        <v>1</v>
      </c>
      <c r="E18">
        <v>8</v>
      </c>
      <c r="F18">
        <v>217.53163000000001</v>
      </c>
      <c r="G18">
        <v>37.599029999999999</v>
      </c>
      <c r="H18">
        <v>24</v>
      </c>
      <c r="I18" t="s">
        <v>42</v>
      </c>
      <c r="J18" t="s">
        <v>13</v>
      </c>
      <c r="K18">
        <v>83</v>
      </c>
      <c r="L18">
        <f t="shared" si="0"/>
        <v>0.14000000000000001</v>
      </c>
      <c r="M18" t="s">
        <v>17</v>
      </c>
      <c r="N18" t="s">
        <v>41</v>
      </c>
    </row>
    <row r="19" spans="1:14" x14ac:dyDescent="0.25">
      <c r="A19" t="s">
        <v>40</v>
      </c>
      <c r="B19" t="s">
        <v>37</v>
      </c>
      <c r="C19" t="s">
        <v>4</v>
      </c>
      <c r="D19">
        <v>1</v>
      </c>
      <c r="E19">
        <v>24</v>
      </c>
      <c r="F19">
        <v>177.60791</v>
      </c>
      <c r="G19">
        <v>30.69901999999999</v>
      </c>
      <c r="H19">
        <v>24</v>
      </c>
      <c r="I19" t="s">
        <v>42</v>
      </c>
      <c r="J19" t="s">
        <v>13</v>
      </c>
      <c r="K19">
        <v>83</v>
      </c>
      <c r="L19">
        <f t="shared" si="0"/>
        <v>0.14000000000000001</v>
      </c>
      <c r="M19" t="s">
        <v>17</v>
      </c>
      <c r="N19" t="s">
        <v>41</v>
      </c>
    </row>
    <row r="20" spans="1:14" x14ac:dyDescent="0.25">
      <c r="A20" t="s">
        <v>40</v>
      </c>
      <c r="B20" t="s">
        <v>37</v>
      </c>
      <c r="C20" t="s">
        <v>4</v>
      </c>
      <c r="D20">
        <v>1</v>
      </c>
      <c r="E20">
        <v>48</v>
      </c>
      <c r="F20">
        <v>146.45258000000001</v>
      </c>
      <c r="G20">
        <v>26.45872</v>
      </c>
      <c r="H20">
        <v>24</v>
      </c>
      <c r="I20" t="s">
        <v>42</v>
      </c>
      <c r="J20" t="s">
        <v>13</v>
      </c>
      <c r="K20">
        <v>83</v>
      </c>
      <c r="L20">
        <f t="shared" si="0"/>
        <v>0.14000000000000001</v>
      </c>
      <c r="M20" t="s">
        <v>17</v>
      </c>
      <c r="N20" t="s">
        <v>41</v>
      </c>
    </row>
    <row r="21" spans="1:14" x14ac:dyDescent="0.25">
      <c r="A21" t="s">
        <v>40</v>
      </c>
      <c r="B21" t="s">
        <v>37</v>
      </c>
      <c r="C21" t="s">
        <v>4</v>
      </c>
      <c r="D21">
        <v>1</v>
      </c>
      <c r="E21">
        <v>72</v>
      </c>
      <c r="F21">
        <v>117.98609999999999</v>
      </c>
      <c r="G21">
        <v>22.244310000000013</v>
      </c>
      <c r="H21">
        <v>24</v>
      </c>
      <c r="I21" t="s">
        <v>42</v>
      </c>
      <c r="J21" t="s">
        <v>13</v>
      </c>
      <c r="K21">
        <v>83</v>
      </c>
      <c r="L21">
        <f t="shared" si="0"/>
        <v>0.14000000000000001</v>
      </c>
      <c r="M21" t="s">
        <v>17</v>
      </c>
      <c r="N21" t="s">
        <v>41</v>
      </c>
    </row>
    <row r="22" spans="1:14" x14ac:dyDescent="0.25">
      <c r="A22" t="s">
        <v>40</v>
      </c>
      <c r="B22" t="s">
        <v>37</v>
      </c>
      <c r="C22" t="s">
        <v>4</v>
      </c>
      <c r="D22">
        <v>1</v>
      </c>
      <c r="E22">
        <f>4*24</f>
        <v>96</v>
      </c>
      <c r="F22">
        <v>103.283325</v>
      </c>
      <c r="G22">
        <v>19.064634999999996</v>
      </c>
      <c r="H22">
        <v>24</v>
      </c>
      <c r="I22" t="s">
        <v>42</v>
      </c>
      <c r="J22" t="s">
        <v>13</v>
      </c>
      <c r="K22">
        <v>83</v>
      </c>
      <c r="L22">
        <f t="shared" si="0"/>
        <v>0.14000000000000001</v>
      </c>
      <c r="M22" t="s">
        <v>17</v>
      </c>
      <c r="N22" t="s">
        <v>41</v>
      </c>
    </row>
    <row r="23" spans="1:14" x14ac:dyDescent="0.25">
      <c r="A23" t="s">
        <v>40</v>
      </c>
      <c r="B23" t="s">
        <v>37</v>
      </c>
      <c r="C23" t="s">
        <v>4</v>
      </c>
      <c r="D23">
        <v>1</v>
      </c>
      <c r="E23">
        <f>5*24</f>
        <v>120</v>
      </c>
      <c r="F23">
        <v>99.224525</v>
      </c>
      <c r="G23">
        <v>20.284385</v>
      </c>
      <c r="H23">
        <v>24</v>
      </c>
      <c r="I23" t="s">
        <v>42</v>
      </c>
      <c r="J23" t="s">
        <v>13</v>
      </c>
      <c r="K23">
        <v>83</v>
      </c>
      <c r="L23">
        <f t="shared" si="0"/>
        <v>0.14000000000000001</v>
      </c>
      <c r="M23" t="s">
        <v>17</v>
      </c>
      <c r="N23" t="s">
        <v>41</v>
      </c>
    </row>
    <row r="24" spans="1:14" x14ac:dyDescent="0.25">
      <c r="A24" t="s">
        <v>40</v>
      </c>
      <c r="B24" t="s">
        <v>37</v>
      </c>
      <c r="C24" t="s">
        <v>4</v>
      </c>
      <c r="D24">
        <v>1</v>
      </c>
      <c r="E24">
        <f>6*24</f>
        <v>144</v>
      </c>
      <c r="F24">
        <v>84.863060000000004</v>
      </c>
      <c r="G24">
        <v>23.28497999999999</v>
      </c>
      <c r="H24">
        <v>24</v>
      </c>
      <c r="I24" t="s">
        <v>42</v>
      </c>
      <c r="J24" t="s">
        <v>13</v>
      </c>
      <c r="K24">
        <v>83</v>
      </c>
      <c r="L24">
        <f t="shared" si="0"/>
        <v>0.14000000000000001</v>
      </c>
      <c r="M24" t="s">
        <v>17</v>
      </c>
      <c r="N24" t="s">
        <v>41</v>
      </c>
    </row>
    <row r="25" spans="1:14" x14ac:dyDescent="0.25">
      <c r="A25" t="s">
        <v>40</v>
      </c>
      <c r="B25" t="s">
        <v>37</v>
      </c>
      <c r="C25" t="s">
        <v>4</v>
      </c>
      <c r="D25">
        <v>1</v>
      </c>
      <c r="E25">
        <f>8*24</f>
        <v>192</v>
      </c>
      <c r="F25">
        <v>71.843450000000004</v>
      </c>
      <c r="G25">
        <v>15.263155999999995</v>
      </c>
      <c r="H25">
        <v>24</v>
      </c>
      <c r="I25" t="s">
        <v>42</v>
      </c>
      <c r="J25" t="s">
        <v>13</v>
      </c>
      <c r="K25">
        <v>83</v>
      </c>
      <c r="L25">
        <f t="shared" si="0"/>
        <v>0.14000000000000001</v>
      </c>
      <c r="M25" t="s">
        <v>17</v>
      </c>
      <c r="N25" t="s">
        <v>41</v>
      </c>
    </row>
    <row r="26" spans="1:14" x14ac:dyDescent="0.25">
      <c r="A26" t="s">
        <v>40</v>
      </c>
      <c r="B26" t="s">
        <v>37</v>
      </c>
      <c r="C26" t="s">
        <v>4</v>
      </c>
      <c r="D26">
        <v>1</v>
      </c>
      <c r="E26">
        <f>10*24</f>
        <v>240</v>
      </c>
      <c r="F26">
        <v>62.459240000000001</v>
      </c>
      <c r="G26">
        <v>14.281889999999997</v>
      </c>
      <c r="H26">
        <v>24</v>
      </c>
      <c r="I26" t="s">
        <v>42</v>
      </c>
      <c r="J26" t="s">
        <v>13</v>
      </c>
      <c r="K26">
        <v>83</v>
      </c>
      <c r="L26">
        <f t="shared" si="0"/>
        <v>0.14000000000000001</v>
      </c>
      <c r="M26" t="s">
        <v>17</v>
      </c>
      <c r="N26" t="s">
        <v>41</v>
      </c>
    </row>
    <row r="27" spans="1:14" x14ac:dyDescent="0.25">
      <c r="A27" t="s">
        <v>40</v>
      </c>
      <c r="B27" t="s">
        <v>37</v>
      </c>
      <c r="C27" t="s">
        <v>4</v>
      </c>
      <c r="D27">
        <v>1</v>
      </c>
      <c r="E27">
        <f>12*24</f>
        <v>288</v>
      </c>
      <c r="F27">
        <v>54.84442</v>
      </c>
      <c r="G27">
        <v>12.317610000000002</v>
      </c>
      <c r="H27">
        <v>24</v>
      </c>
      <c r="I27" t="s">
        <v>42</v>
      </c>
      <c r="J27" t="s">
        <v>13</v>
      </c>
      <c r="K27">
        <v>83</v>
      </c>
      <c r="L27">
        <f t="shared" si="0"/>
        <v>0.14000000000000001</v>
      </c>
      <c r="M27" t="s">
        <v>17</v>
      </c>
      <c r="N27" t="s">
        <v>41</v>
      </c>
    </row>
    <row r="28" spans="1:14" x14ac:dyDescent="0.25">
      <c r="A28" t="s">
        <v>40</v>
      </c>
      <c r="B28" t="s">
        <v>37</v>
      </c>
      <c r="C28" t="s">
        <v>4</v>
      </c>
      <c r="D28">
        <v>1</v>
      </c>
      <c r="E28">
        <f>14*24</f>
        <v>336</v>
      </c>
      <c r="F28">
        <v>48.802321999999997</v>
      </c>
      <c r="G28">
        <v>13.184468000000003</v>
      </c>
      <c r="H28">
        <v>24</v>
      </c>
      <c r="I28" t="s">
        <v>42</v>
      </c>
      <c r="J28" t="s">
        <v>13</v>
      </c>
      <c r="K28">
        <v>83</v>
      </c>
      <c r="L28">
        <f t="shared" si="0"/>
        <v>0.14000000000000001</v>
      </c>
      <c r="M28" t="s">
        <v>17</v>
      </c>
      <c r="N28" t="s">
        <v>41</v>
      </c>
    </row>
    <row r="29" spans="1:14" x14ac:dyDescent="0.25">
      <c r="A29" t="s">
        <v>40</v>
      </c>
      <c r="B29" t="s">
        <v>37</v>
      </c>
      <c r="C29" t="s">
        <v>4</v>
      </c>
      <c r="D29">
        <v>1</v>
      </c>
      <c r="E29">
        <f>18*24</f>
        <v>432</v>
      </c>
      <c r="F29">
        <v>31.241925999999999</v>
      </c>
      <c r="G29">
        <v>10.606096000000001</v>
      </c>
      <c r="H29">
        <v>24</v>
      </c>
      <c r="I29" t="s">
        <v>42</v>
      </c>
      <c r="J29" t="s">
        <v>13</v>
      </c>
      <c r="K29">
        <v>83</v>
      </c>
      <c r="L29">
        <f t="shared" si="0"/>
        <v>0.14000000000000001</v>
      </c>
      <c r="M29" t="s">
        <v>17</v>
      </c>
      <c r="N29" t="s">
        <v>41</v>
      </c>
    </row>
    <row r="30" spans="1:14" x14ac:dyDescent="0.25">
      <c r="A30" t="s">
        <v>40</v>
      </c>
      <c r="B30" t="s">
        <v>37</v>
      </c>
      <c r="C30" t="s">
        <v>4</v>
      </c>
      <c r="D30">
        <v>1</v>
      </c>
      <c r="E30">
        <f>21*24</f>
        <v>504</v>
      </c>
      <c r="F30">
        <v>24.094296</v>
      </c>
      <c r="G30">
        <v>8.3947059999999993</v>
      </c>
      <c r="H30">
        <v>24</v>
      </c>
      <c r="I30" t="s">
        <v>42</v>
      </c>
      <c r="J30" t="s">
        <v>13</v>
      </c>
      <c r="K30">
        <v>83</v>
      </c>
      <c r="L30">
        <f t="shared" si="0"/>
        <v>0.14000000000000001</v>
      </c>
      <c r="M30" t="s">
        <v>17</v>
      </c>
      <c r="N30" t="s">
        <v>41</v>
      </c>
    </row>
    <row r="31" spans="1:14" x14ac:dyDescent="0.25">
      <c r="A31" t="s">
        <v>40</v>
      </c>
      <c r="B31" t="s">
        <v>37</v>
      </c>
      <c r="C31" t="s">
        <v>4</v>
      </c>
      <c r="D31">
        <v>1</v>
      </c>
      <c r="E31">
        <f>28*24</f>
        <v>672</v>
      </c>
      <c r="F31">
        <v>12.420500000000001</v>
      </c>
      <c r="G31">
        <v>7.2221070000000012</v>
      </c>
      <c r="H31">
        <v>24</v>
      </c>
      <c r="I31" t="s">
        <v>42</v>
      </c>
      <c r="J31" t="s">
        <v>13</v>
      </c>
      <c r="K31">
        <v>83</v>
      </c>
      <c r="L31">
        <f t="shared" si="0"/>
        <v>0.14000000000000001</v>
      </c>
      <c r="M31" t="s">
        <v>17</v>
      </c>
      <c r="N31" t="s">
        <v>41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DBE4-919C-4EC4-AC94-0D6B126872FE}">
  <dimension ref="A1:M31"/>
  <sheetViews>
    <sheetView tabSelected="1" workbookViewId="0">
      <selection activeCell="N25" sqref="N25"/>
    </sheetView>
  </sheetViews>
  <sheetFormatPr defaultRowHeight="15" x14ac:dyDescent="0.25"/>
  <sheetData>
    <row r="1" spans="1:13" x14ac:dyDescent="0.25">
      <c r="A1" t="s">
        <v>0</v>
      </c>
      <c r="B1" t="s">
        <v>23</v>
      </c>
      <c r="C1" t="s">
        <v>3</v>
      </c>
      <c r="D1" t="s">
        <v>18</v>
      </c>
      <c r="E1" t="s">
        <v>5</v>
      </c>
      <c r="F1" t="s">
        <v>35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</row>
    <row r="2" spans="1:13" x14ac:dyDescent="0.25">
      <c r="A2" t="s">
        <v>43</v>
      </c>
      <c r="B2" t="s">
        <v>38</v>
      </c>
      <c r="C2" t="s">
        <v>4</v>
      </c>
      <c r="D2">
        <v>1</v>
      </c>
      <c r="E2">
        <v>0.01</v>
      </c>
      <c r="F2">
        <v>1.0546745562130178</v>
      </c>
      <c r="G2">
        <v>25</v>
      </c>
      <c r="H2" t="s">
        <v>42</v>
      </c>
      <c r="I2" t="s">
        <v>13</v>
      </c>
      <c r="J2">
        <v>83</v>
      </c>
      <c r="K2">
        <f>1-0.86</f>
        <v>0.14000000000000001</v>
      </c>
      <c r="L2" t="s">
        <v>17</v>
      </c>
      <c r="M2" t="s">
        <v>41</v>
      </c>
    </row>
    <row r="3" spans="1:13" x14ac:dyDescent="0.25">
      <c r="A3" t="s">
        <v>43</v>
      </c>
      <c r="B3" t="s">
        <v>38</v>
      </c>
      <c r="C3" t="s">
        <v>4</v>
      </c>
      <c r="D3">
        <v>1</v>
      </c>
      <c r="E3">
        <v>24</v>
      </c>
      <c r="F3">
        <v>2.0200859171597632</v>
      </c>
      <c r="G3">
        <v>25</v>
      </c>
      <c r="H3" t="s">
        <v>42</v>
      </c>
      <c r="I3" t="s">
        <v>13</v>
      </c>
      <c r="J3">
        <v>83</v>
      </c>
      <c r="K3">
        <f t="shared" ref="K3:K31" si="0">1-0.86</f>
        <v>0.14000000000000001</v>
      </c>
      <c r="L3" t="s">
        <v>17</v>
      </c>
      <c r="M3" t="s">
        <v>41</v>
      </c>
    </row>
    <row r="4" spans="1:13" x14ac:dyDescent="0.25">
      <c r="A4" t="s">
        <v>43</v>
      </c>
      <c r="B4" t="s">
        <v>38</v>
      </c>
      <c r="C4" t="s">
        <v>4</v>
      </c>
      <c r="D4">
        <v>1</v>
      </c>
      <c r="E4">
        <v>48</v>
      </c>
      <c r="F4">
        <v>3.0132880473372783</v>
      </c>
      <c r="G4">
        <v>25</v>
      </c>
      <c r="H4" t="s">
        <v>42</v>
      </c>
      <c r="I4" t="s">
        <v>13</v>
      </c>
      <c r="J4">
        <v>83</v>
      </c>
      <c r="K4">
        <f t="shared" si="0"/>
        <v>0.14000000000000001</v>
      </c>
      <c r="L4" t="s">
        <v>17</v>
      </c>
      <c r="M4" t="s">
        <v>41</v>
      </c>
    </row>
    <row r="5" spans="1:13" x14ac:dyDescent="0.25">
      <c r="A5" t="s">
        <v>43</v>
      </c>
      <c r="B5" t="s">
        <v>38</v>
      </c>
      <c r="C5" t="s">
        <v>4</v>
      </c>
      <c r="D5">
        <v>1</v>
      </c>
      <c r="E5">
        <v>72</v>
      </c>
      <c r="F5">
        <v>3.8034011834319528</v>
      </c>
      <c r="G5">
        <v>25</v>
      </c>
      <c r="H5" t="s">
        <v>42</v>
      </c>
      <c r="I5" t="s">
        <v>13</v>
      </c>
      <c r="J5">
        <v>83</v>
      </c>
      <c r="K5">
        <f t="shared" si="0"/>
        <v>0.14000000000000001</v>
      </c>
      <c r="L5" t="s">
        <v>17</v>
      </c>
      <c r="M5" t="s">
        <v>41</v>
      </c>
    </row>
    <row r="6" spans="1:13" x14ac:dyDescent="0.25">
      <c r="A6" t="s">
        <v>43</v>
      </c>
      <c r="B6" t="s">
        <v>38</v>
      </c>
      <c r="C6" t="s">
        <v>4</v>
      </c>
      <c r="D6">
        <v>1</v>
      </c>
      <c r="E6">
        <v>96</v>
      </c>
      <c r="F6">
        <v>4.5709455621301771</v>
      </c>
      <c r="G6">
        <v>25</v>
      </c>
      <c r="H6" t="s">
        <v>42</v>
      </c>
      <c r="I6" t="s">
        <v>13</v>
      </c>
      <c r="J6">
        <v>83</v>
      </c>
      <c r="K6">
        <f t="shared" si="0"/>
        <v>0.14000000000000001</v>
      </c>
      <c r="L6" t="s">
        <v>17</v>
      </c>
      <c r="M6" t="s">
        <v>41</v>
      </c>
    </row>
    <row r="7" spans="1:13" x14ac:dyDescent="0.25">
      <c r="A7" t="s">
        <v>43</v>
      </c>
      <c r="B7" t="s">
        <v>38</v>
      </c>
      <c r="C7" t="s">
        <v>4</v>
      </c>
      <c r="D7">
        <v>1</v>
      </c>
      <c r="E7">
        <v>120</v>
      </c>
      <c r="F7">
        <v>5.3723512426035507</v>
      </c>
      <c r="G7">
        <v>25</v>
      </c>
      <c r="H7" t="s">
        <v>42</v>
      </c>
      <c r="I7" t="s">
        <v>13</v>
      </c>
      <c r="J7">
        <v>83</v>
      </c>
      <c r="K7">
        <f t="shared" si="0"/>
        <v>0.14000000000000001</v>
      </c>
      <c r="L7" t="s">
        <v>17</v>
      </c>
      <c r="M7" t="s">
        <v>41</v>
      </c>
    </row>
    <row r="8" spans="1:13" x14ac:dyDescent="0.25">
      <c r="A8" t="s">
        <v>43</v>
      </c>
      <c r="B8" t="s">
        <v>38</v>
      </c>
      <c r="C8" t="s">
        <v>4</v>
      </c>
      <c r="D8">
        <v>1</v>
      </c>
      <c r="E8">
        <f>6*24</f>
        <v>144</v>
      </c>
      <c r="F8">
        <v>5.7111462721893487</v>
      </c>
      <c r="G8">
        <v>25</v>
      </c>
      <c r="H8" t="s">
        <v>42</v>
      </c>
      <c r="I8" t="s">
        <v>13</v>
      </c>
      <c r="J8">
        <v>83</v>
      </c>
      <c r="K8">
        <f t="shared" si="0"/>
        <v>0.14000000000000001</v>
      </c>
      <c r="L8" t="s">
        <v>17</v>
      </c>
      <c r="M8" t="s">
        <v>41</v>
      </c>
    </row>
    <row r="9" spans="1:13" x14ac:dyDescent="0.25">
      <c r="A9" t="s">
        <v>43</v>
      </c>
      <c r="B9" t="s">
        <v>38</v>
      </c>
      <c r="C9" t="s">
        <v>4</v>
      </c>
      <c r="D9">
        <v>1</v>
      </c>
      <c r="E9">
        <f>8*24</f>
        <v>192</v>
      </c>
      <c r="F9">
        <v>6.5241604733727812</v>
      </c>
      <c r="G9">
        <v>25</v>
      </c>
      <c r="H9" t="s">
        <v>42</v>
      </c>
      <c r="I9" t="s">
        <v>13</v>
      </c>
      <c r="J9">
        <v>83</v>
      </c>
      <c r="K9">
        <f t="shared" si="0"/>
        <v>0.14000000000000001</v>
      </c>
      <c r="L9" t="s">
        <v>17</v>
      </c>
      <c r="M9" t="s">
        <v>41</v>
      </c>
    </row>
    <row r="10" spans="1:13" x14ac:dyDescent="0.25">
      <c r="A10" t="s">
        <v>43</v>
      </c>
      <c r="B10" t="s">
        <v>38</v>
      </c>
      <c r="C10" t="s">
        <v>4</v>
      </c>
      <c r="D10">
        <v>1</v>
      </c>
      <c r="E10">
        <f>10*24</f>
        <v>240</v>
      </c>
      <c r="F10">
        <v>6.6150523076923076</v>
      </c>
      <c r="G10">
        <v>25</v>
      </c>
      <c r="H10" t="s">
        <v>42</v>
      </c>
      <c r="I10" t="s">
        <v>13</v>
      </c>
      <c r="J10">
        <v>83</v>
      </c>
      <c r="K10">
        <f t="shared" si="0"/>
        <v>0.14000000000000001</v>
      </c>
      <c r="L10" t="s">
        <v>17</v>
      </c>
      <c r="M10" t="s">
        <v>41</v>
      </c>
    </row>
    <row r="11" spans="1:13" x14ac:dyDescent="0.25">
      <c r="A11" t="s">
        <v>43</v>
      </c>
      <c r="B11" t="s">
        <v>38</v>
      </c>
      <c r="C11" t="s">
        <v>4</v>
      </c>
      <c r="D11">
        <v>1</v>
      </c>
      <c r="E11">
        <f>12*24</f>
        <v>288</v>
      </c>
      <c r="F11">
        <v>7.0895720710059171</v>
      </c>
      <c r="G11">
        <v>25</v>
      </c>
      <c r="H11" t="s">
        <v>42</v>
      </c>
      <c r="I11" t="s">
        <v>13</v>
      </c>
      <c r="J11">
        <v>83</v>
      </c>
      <c r="K11">
        <f t="shared" si="0"/>
        <v>0.14000000000000001</v>
      </c>
      <c r="L11" t="s">
        <v>17</v>
      </c>
      <c r="M11" t="s">
        <v>41</v>
      </c>
    </row>
    <row r="12" spans="1:13" x14ac:dyDescent="0.25">
      <c r="A12" t="s">
        <v>43</v>
      </c>
      <c r="B12" t="s">
        <v>38</v>
      </c>
      <c r="C12" t="s">
        <v>4</v>
      </c>
      <c r="D12">
        <v>1</v>
      </c>
      <c r="E12">
        <v>336</v>
      </c>
      <c r="F12">
        <v>7.9928260355029597</v>
      </c>
      <c r="G12">
        <v>25</v>
      </c>
      <c r="H12" t="s">
        <v>42</v>
      </c>
      <c r="I12" t="s">
        <v>13</v>
      </c>
      <c r="J12">
        <v>83</v>
      </c>
      <c r="K12">
        <f t="shared" si="0"/>
        <v>0.14000000000000001</v>
      </c>
      <c r="L12" t="s">
        <v>17</v>
      </c>
      <c r="M12" t="s">
        <v>41</v>
      </c>
    </row>
    <row r="13" spans="1:13" x14ac:dyDescent="0.25">
      <c r="A13" t="s">
        <v>43</v>
      </c>
      <c r="B13" t="s">
        <v>38</v>
      </c>
      <c r="C13" t="s">
        <v>4</v>
      </c>
      <c r="D13">
        <v>1</v>
      </c>
      <c r="E13">
        <f>18*24</f>
        <v>432</v>
      </c>
      <c r="F13">
        <v>8.4228551479289937</v>
      </c>
      <c r="G13">
        <v>25</v>
      </c>
      <c r="H13" t="s">
        <v>42</v>
      </c>
      <c r="I13" t="s">
        <v>13</v>
      </c>
      <c r="J13">
        <v>83</v>
      </c>
      <c r="K13">
        <f t="shared" si="0"/>
        <v>0.14000000000000001</v>
      </c>
      <c r="L13" t="s">
        <v>17</v>
      </c>
      <c r="M13" t="s">
        <v>41</v>
      </c>
    </row>
    <row r="14" spans="1:13" x14ac:dyDescent="0.25">
      <c r="A14" t="s">
        <v>43</v>
      </c>
      <c r="B14" t="s">
        <v>38</v>
      </c>
      <c r="C14" t="s">
        <v>4</v>
      </c>
      <c r="D14">
        <v>1</v>
      </c>
      <c r="E14">
        <f>21*24</f>
        <v>504</v>
      </c>
      <c r="F14">
        <v>8.0176553846153844</v>
      </c>
      <c r="G14">
        <v>25</v>
      </c>
      <c r="H14" t="s">
        <v>42</v>
      </c>
      <c r="I14" t="s">
        <v>13</v>
      </c>
      <c r="J14">
        <v>83</v>
      </c>
      <c r="K14">
        <f t="shared" si="0"/>
        <v>0.14000000000000001</v>
      </c>
      <c r="L14" t="s">
        <v>17</v>
      </c>
      <c r="M14" t="s">
        <v>41</v>
      </c>
    </row>
    <row r="15" spans="1:13" x14ac:dyDescent="0.25">
      <c r="A15" t="s">
        <v>43</v>
      </c>
      <c r="B15" t="s">
        <v>38</v>
      </c>
      <c r="C15" t="s">
        <v>4</v>
      </c>
      <c r="D15">
        <v>1</v>
      </c>
      <c r="E15">
        <f>28*24</f>
        <v>672</v>
      </c>
      <c r="F15">
        <v>6.5644336094674562</v>
      </c>
      <c r="G15">
        <v>25</v>
      </c>
      <c r="H15" t="s">
        <v>42</v>
      </c>
      <c r="I15" t="s">
        <v>13</v>
      </c>
      <c r="J15">
        <v>83</v>
      </c>
      <c r="K15">
        <f t="shared" si="0"/>
        <v>0.14000000000000001</v>
      </c>
      <c r="L15" t="s">
        <v>17</v>
      </c>
      <c r="M15" t="s">
        <v>41</v>
      </c>
    </row>
    <row r="16" spans="1:13" x14ac:dyDescent="0.25">
      <c r="A16" t="s">
        <v>43</v>
      </c>
      <c r="B16" t="s">
        <v>38</v>
      </c>
      <c r="C16" t="s">
        <v>4</v>
      </c>
      <c r="D16">
        <v>1</v>
      </c>
      <c r="E16">
        <f>42*24</f>
        <v>1008</v>
      </c>
      <c r="F16">
        <v>1.1870901775147928</v>
      </c>
      <c r="G16">
        <v>25</v>
      </c>
      <c r="H16" t="s">
        <v>42</v>
      </c>
      <c r="I16" t="s">
        <v>13</v>
      </c>
      <c r="J16">
        <v>83</v>
      </c>
      <c r="K16">
        <f t="shared" si="0"/>
        <v>0.14000000000000001</v>
      </c>
      <c r="L16" t="s">
        <v>17</v>
      </c>
      <c r="M16" t="s">
        <v>41</v>
      </c>
    </row>
    <row r="17" spans="1:13" x14ac:dyDescent="0.25">
      <c r="A17" t="s">
        <v>44</v>
      </c>
      <c r="B17" t="s">
        <v>37</v>
      </c>
      <c r="C17" t="s">
        <v>4</v>
      </c>
      <c r="D17">
        <v>1</v>
      </c>
      <c r="E17">
        <v>0.01</v>
      </c>
      <c r="F17">
        <v>0.96000000000000008</v>
      </c>
      <c r="G17">
        <v>24</v>
      </c>
      <c r="H17" t="s">
        <v>42</v>
      </c>
      <c r="I17" t="s">
        <v>13</v>
      </c>
      <c r="J17">
        <v>83</v>
      </c>
      <c r="K17">
        <f t="shared" si="0"/>
        <v>0.14000000000000001</v>
      </c>
      <c r="L17" t="s">
        <v>17</v>
      </c>
      <c r="M17" t="s">
        <v>41</v>
      </c>
    </row>
    <row r="18" spans="1:13" x14ac:dyDescent="0.25">
      <c r="A18" t="s">
        <v>44</v>
      </c>
      <c r="B18" t="s">
        <v>37</v>
      </c>
      <c r="C18" t="s">
        <v>4</v>
      </c>
      <c r="D18">
        <v>1</v>
      </c>
      <c r="E18">
        <v>24</v>
      </c>
      <c r="F18">
        <v>2.0990617751479292</v>
      </c>
      <c r="G18">
        <v>24</v>
      </c>
      <c r="H18" t="s">
        <v>42</v>
      </c>
      <c r="I18" t="s">
        <v>13</v>
      </c>
      <c r="J18">
        <v>83</v>
      </c>
      <c r="K18">
        <f t="shared" si="0"/>
        <v>0.14000000000000001</v>
      </c>
      <c r="L18" t="s">
        <v>17</v>
      </c>
      <c r="M18" t="s">
        <v>41</v>
      </c>
    </row>
    <row r="19" spans="1:13" x14ac:dyDescent="0.25">
      <c r="A19" t="s">
        <v>44</v>
      </c>
      <c r="B19" t="s">
        <v>37</v>
      </c>
      <c r="C19" t="s">
        <v>4</v>
      </c>
      <c r="D19">
        <v>1</v>
      </c>
      <c r="E19">
        <v>48</v>
      </c>
      <c r="F19">
        <v>3.1599602366863904</v>
      </c>
      <c r="G19">
        <v>24</v>
      </c>
      <c r="H19" t="s">
        <v>42</v>
      </c>
      <c r="I19" t="s">
        <v>13</v>
      </c>
      <c r="J19">
        <v>83</v>
      </c>
      <c r="K19">
        <f t="shared" si="0"/>
        <v>0.14000000000000001</v>
      </c>
      <c r="L19" t="s">
        <v>17</v>
      </c>
      <c r="M19" t="s">
        <v>41</v>
      </c>
    </row>
    <row r="20" spans="1:13" x14ac:dyDescent="0.25">
      <c r="A20" t="s">
        <v>44</v>
      </c>
      <c r="B20" t="s">
        <v>37</v>
      </c>
      <c r="C20" t="s">
        <v>4</v>
      </c>
      <c r="D20">
        <v>1</v>
      </c>
      <c r="E20">
        <v>72</v>
      </c>
      <c r="F20">
        <v>3.9049488757396453</v>
      </c>
      <c r="G20">
        <v>24</v>
      </c>
      <c r="H20" t="s">
        <v>42</v>
      </c>
      <c r="I20" t="s">
        <v>13</v>
      </c>
      <c r="J20">
        <v>83</v>
      </c>
      <c r="K20">
        <f t="shared" si="0"/>
        <v>0.14000000000000001</v>
      </c>
      <c r="L20" t="s">
        <v>17</v>
      </c>
      <c r="M20" t="s">
        <v>41</v>
      </c>
    </row>
    <row r="21" spans="1:13" x14ac:dyDescent="0.25">
      <c r="A21" t="s">
        <v>44</v>
      </c>
      <c r="B21" t="s">
        <v>37</v>
      </c>
      <c r="C21" t="s">
        <v>4</v>
      </c>
      <c r="D21">
        <v>1</v>
      </c>
      <c r="E21">
        <v>96</v>
      </c>
      <c r="F21">
        <v>4.8191654437869822</v>
      </c>
      <c r="G21">
        <v>24</v>
      </c>
      <c r="H21" t="s">
        <v>42</v>
      </c>
      <c r="I21" t="s">
        <v>13</v>
      </c>
      <c r="J21">
        <v>83</v>
      </c>
      <c r="K21">
        <f t="shared" si="0"/>
        <v>0.14000000000000001</v>
      </c>
      <c r="L21" t="s">
        <v>17</v>
      </c>
      <c r="M21" t="s">
        <v>41</v>
      </c>
    </row>
    <row r="22" spans="1:13" x14ac:dyDescent="0.25">
      <c r="A22" t="s">
        <v>44</v>
      </c>
      <c r="B22" t="s">
        <v>37</v>
      </c>
      <c r="C22" t="s">
        <v>4</v>
      </c>
      <c r="D22">
        <v>1</v>
      </c>
      <c r="E22">
        <v>120</v>
      </c>
      <c r="F22">
        <v>5.8800639053254438</v>
      </c>
      <c r="G22">
        <v>24</v>
      </c>
      <c r="H22" t="s">
        <v>42</v>
      </c>
      <c r="I22" t="s">
        <v>13</v>
      </c>
      <c r="J22">
        <v>83</v>
      </c>
      <c r="K22">
        <f t="shared" si="0"/>
        <v>0.14000000000000001</v>
      </c>
      <c r="L22" t="s">
        <v>17</v>
      </c>
      <c r="M22" t="s">
        <v>41</v>
      </c>
    </row>
    <row r="23" spans="1:13" x14ac:dyDescent="0.25">
      <c r="A23" t="s">
        <v>44</v>
      </c>
      <c r="B23" t="s">
        <v>37</v>
      </c>
      <c r="C23" t="s">
        <v>4</v>
      </c>
      <c r="D23">
        <v>1</v>
      </c>
      <c r="E23">
        <v>144</v>
      </c>
      <c r="F23">
        <v>5.7224385798816568</v>
      </c>
      <c r="G23">
        <v>24</v>
      </c>
      <c r="H23" t="s">
        <v>42</v>
      </c>
      <c r="I23" t="s">
        <v>13</v>
      </c>
      <c r="J23">
        <v>83</v>
      </c>
      <c r="K23">
        <f t="shared" si="0"/>
        <v>0.14000000000000001</v>
      </c>
      <c r="L23" t="s">
        <v>17</v>
      </c>
      <c r="M23" t="s">
        <v>41</v>
      </c>
    </row>
    <row r="24" spans="1:13" x14ac:dyDescent="0.25">
      <c r="A24" t="s">
        <v>44</v>
      </c>
      <c r="B24" t="s">
        <v>37</v>
      </c>
      <c r="C24" t="s">
        <v>4</v>
      </c>
      <c r="D24">
        <v>1</v>
      </c>
      <c r="E24">
        <v>192</v>
      </c>
      <c r="F24">
        <v>6.1743928994082848</v>
      </c>
      <c r="G24">
        <v>24</v>
      </c>
      <c r="H24" t="s">
        <v>42</v>
      </c>
      <c r="I24" t="s">
        <v>13</v>
      </c>
      <c r="J24">
        <v>83</v>
      </c>
      <c r="K24">
        <f t="shared" si="0"/>
        <v>0.14000000000000001</v>
      </c>
      <c r="L24" t="s">
        <v>17</v>
      </c>
      <c r="M24" t="s">
        <v>41</v>
      </c>
    </row>
    <row r="25" spans="1:13" x14ac:dyDescent="0.25">
      <c r="A25" t="s">
        <v>44</v>
      </c>
      <c r="B25" t="s">
        <v>37</v>
      </c>
      <c r="C25" t="s">
        <v>4</v>
      </c>
      <c r="D25">
        <v>1</v>
      </c>
      <c r="E25">
        <v>240</v>
      </c>
      <c r="F25">
        <v>6.6827581065088753</v>
      </c>
      <c r="G25">
        <v>24</v>
      </c>
      <c r="H25" t="s">
        <v>42</v>
      </c>
      <c r="I25" t="s">
        <v>13</v>
      </c>
      <c r="J25">
        <v>83</v>
      </c>
      <c r="K25">
        <f t="shared" si="0"/>
        <v>0.14000000000000001</v>
      </c>
      <c r="L25" t="s">
        <v>17</v>
      </c>
      <c r="M25" t="s">
        <v>41</v>
      </c>
    </row>
    <row r="26" spans="1:13" x14ac:dyDescent="0.25">
      <c r="A26" t="s">
        <v>44</v>
      </c>
      <c r="B26" t="s">
        <v>37</v>
      </c>
      <c r="C26" t="s">
        <v>4</v>
      </c>
      <c r="D26">
        <v>1</v>
      </c>
      <c r="E26">
        <v>288</v>
      </c>
      <c r="F26">
        <v>7.7213950295857989</v>
      </c>
      <c r="G26">
        <v>24</v>
      </c>
      <c r="H26" t="s">
        <v>42</v>
      </c>
      <c r="I26" t="s">
        <v>13</v>
      </c>
      <c r="J26">
        <v>83</v>
      </c>
      <c r="K26">
        <f t="shared" si="0"/>
        <v>0.14000000000000001</v>
      </c>
      <c r="L26" t="s">
        <v>17</v>
      </c>
      <c r="M26" t="s">
        <v>41</v>
      </c>
    </row>
    <row r="27" spans="1:13" x14ac:dyDescent="0.25">
      <c r="A27" t="s">
        <v>44</v>
      </c>
      <c r="B27" t="s">
        <v>37</v>
      </c>
      <c r="C27" t="s">
        <v>4</v>
      </c>
      <c r="D27">
        <v>1</v>
      </c>
      <c r="E27">
        <v>336</v>
      </c>
      <c r="F27">
        <v>8.9292880473372787</v>
      </c>
      <c r="G27">
        <v>24</v>
      </c>
      <c r="H27" t="s">
        <v>42</v>
      </c>
      <c r="I27" t="s">
        <v>13</v>
      </c>
      <c r="J27">
        <v>83</v>
      </c>
      <c r="K27">
        <f t="shared" si="0"/>
        <v>0.14000000000000001</v>
      </c>
      <c r="L27" t="s">
        <v>17</v>
      </c>
      <c r="M27" t="s">
        <v>41</v>
      </c>
    </row>
    <row r="28" spans="1:13" x14ac:dyDescent="0.25">
      <c r="A28" t="s">
        <v>44</v>
      </c>
      <c r="B28" t="s">
        <v>37</v>
      </c>
      <c r="C28" t="s">
        <v>4</v>
      </c>
      <c r="D28">
        <v>1</v>
      </c>
      <c r="E28">
        <v>432</v>
      </c>
      <c r="F28">
        <v>8.817749822485208</v>
      </c>
      <c r="G28">
        <v>24</v>
      </c>
      <c r="H28" t="s">
        <v>42</v>
      </c>
      <c r="I28" t="s">
        <v>13</v>
      </c>
      <c r="J28">
        <v>83</v>
      </c>
      <c r="K28">
        <f t="shared" si="0"/>
        <v>0.14000000000000001</v>
      </c>
      <c r="L28" t="s">
        <v>17</v>
      </c>
      <c r="M28" t="s">
        <v>41</v>
      </c>
    </row>
    <row r="29" spans="1:13" x14ac:dyDescent="0.25">
      <c r="A29" t="s">
        <v>44</v>
      </c>
      <c r="B29" t="s">
        <v>37</v>
      </c>
      <c r="C29" t="s">
        <v>4</v>
      </c>
      <c r="D29">
        <v>1</v>
      </c>
      <c r="E29">
        <v>504</v>
      </c>
      <c r="F29">
        <v>9.1797822485207092</v>
      </c>
      <c r="G29">
        <v>24</v>
      </c>
      <c r="H29" t="s">
        <v>42</v>
      </c>
      <c r="I29" t="s">
        <v>13</v>
      </c>
      <c r="J29">
        <v>83</v>
      </c>
      <c r="K29">
        <f t="shared" si="0"/>
        <v>0.14000000000000001</v>
      </c>
      <c r="L29" t="s">
        <v>17</v>
      </c>
      <c r="M29" t="s">
        <v>41</v>
      </c>
    </row>
    <row r="30" spans="1:13" x14ac:dyDescent="0.25">
      <c r="A30" t="s">
        <v>44</v>
      </c>
      <c r="B30" t="s">
        <v>37</v>
      </c>
      <c r="C30" t="s">
        <v>4</v>
      </c>
      <c r="D30">
        <v>1</v>
      </c>
      <c r="E30">
        <v>672</v>
      </c>
      <c r="F30">
        <v>9.9605308875739649</v>
      </c>
      <c r="G30">
        <v>24</v>
      </c>
      <c r="H30" t="s">
        <v>42</v>
      </c>
      <c r="I30" t="s">
        <v>13</v>
      </c>
      <c r="J30">
        <v>83</v>
      </c>
      <c r="K30">
        <f t="shared" si="0"/>
        <v>0.14000000000000001</v>
      </c>
      <c r="L30" t="s">
        <v>17</v>
      </c>
      <c r="M30" t="s">
        <v>41</v>
      </c>
    </row>
    <row r="31" spans="1:13" x14ac:dyDescent="0.25">
      <c r="A31" t="s">
        <v>44</v>
      </c>
      <c r="B31" t="s">
        <v>37</v>
      </c>
      <c r="C31" t="s">
        <v>4</v>
      </c>
      <c r="D31">
        <v>1</v>
      </c>
      <c r="E31">
        <v>1008</v>
      </c>
      <c r="F31">
        <v>2.4394652307692311</v>
      </c>
      <c r="G31">
        <v>24</v>
      </c>
      <c r="H31" t="s">
        <v>42</v>
      </c>
      <c r="I31" t="s">
        <v>13</v>
      </c>
      <c r="J31">
        <v>83</v>
      </c>
      <c r="K31">
        <f t="shared" si="0"/>
        <v>0.14000000000000001</v>
      </c>
      <c r="L31" t="s">
        <v>17</v>
      </c>
      <c r="M3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Zhang 2013</vt:lpstr>
      <vt:lpstr>Zh sIL-6R</vt:lpstr>
      <vt:lpstr>Mallalieu 2019</vt:lpstr>
      <vt:lpstr>Mal sIL-6R</vt:lpstr>
      <vt:lpstr>Paccaly 2020</vt:lpstr>
      <vt:lpstr>Pac sIL-6R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Malik</dc:creator>
  <cp:lastModifiedBy>Paul Malik</cp:lastModifiedBy>
  <dcterms:created xsi:type="dcterms:W3CDTF">2021-02-12T23:13:11Z</dcterms:created>
  <dcterms:modified xsi:type="dcterms:W3CDTF">2021-02-15T00:00:28Z</dcterms:modified>
</cp:coreProperties>
</file>