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dults_scan" sheetId="1" state="visible" r:id="rId3"/>
    <sheet name="pediatric_scan" sheetId="2" state="visible" r:id="rId4"/>
    <sheet name="adultPK" sheetId="3" state="visible" r:id="rId5"/>
    <sheet name="pediatricP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<sst xmlns="http://schemas.openxmlformats.org/spreadsheetml/2006/main" count="36" uniqueCount="19">
  <si>
    <t xml:space="preserve">time [days]</t>
  </si>
  <si>
    <t xml:space="preserve">time_scanned [days]</t>
  </si>
  <si>
    <t xml:space="preserve">3mgkg (conc) [µg/ml]</t>
  </si>
  <si>
    <t xml:space="preserve">Error(Arithm) 3mgkg [µg/ml]</t>
  </si>
  <si>
    <t xml:space="preserve">1mgkg (conc) [µg/ml]</t>
  </si>
  <si>
    <t xml:space="preserve">Error(Arithm) 1mgkg [µg/ml]</t>
  </si>
  <si>
    <t xml:space="preserve">0p3mgkg (conc) [µg/ml]</t>
  </si>
  <si>
    <t xml:space="preserve">Error(Arithm) 0p3mgkg [µg/ml]</t>
  </si>
  <si>
    <t xml:space="preserve">0p1mgkg (conc) [µg/ml]</t>
  </si>
  <si>
    <t xml:space="preserve">Error(Arithm) 0p1mgkg [µg/ml]</t>
  </si>
  <si>
    <t xml:space="preserve">Lopez2010_Urtoxazumab.pdf</t>
  </si>
  <si>
    <t xml:space="preserve">doi:10.1128/AAC.00343-09</t>
  </si>
  <si>
    <t xml:space="preserve">scanned time [days]</t>
  </si>
  <si>
    <t xml:space="preserve">conc. [µg/ml]</t>
  </si>
  <si>
    <t xml:space="preserve">SD [µg/ml]</t>
  </si>
  <si>
    <t xml:space="preserve">Dose [mg/kg]</t>
  </si>
  <si>
    <t xml:space="preserve">infusion time adults: 30 min</t>
  </si>
  <si>
    <t xml:space="preserve">possible adult times [days]</t>
  </si>
  <si>
    <t xml:space="preserve">infusion time children: 1 h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</si>
</sst>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FF00FF"/>
      <name val="Calibri"/>
      <family val="0"/>
      <charset val="1"/>
    </font>
    <font>
      <sz val="11"/>
      <color rgb="FF8A2BE2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BE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Lopez2010_Urtoxazumab.pdf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Lopez2010_Urtoxazumab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D1" s="0" t="s">
        <v>0</v>
      </c>
      <c r="E1" s="1" t="s">
        <v>2</v>
      </c>
      <c r="F1" s="1" t="s">
        <v>3</v>
      </c>
      <c r="G1" s="0" t="s">
        <v>0</v>
      </c>
      <c r="H1" s="2" t="s">
        <v>4</v>
      </c>
      <c r="I1" s="2" t="s">
        <v>5</v>
      </c>
      <c r="J1" s="0" t="s">
        <v>0</v>
      </c>
      <c r="K1" s="3" t="s">
        <v>6</v>
      </c>
      <c r="L1" s="3" t="s">
        <v>7</v>
      </c>
      <c r="M1" s="0" t="s">
        <v>0</v>
      </c>
      <c r="N1" s="4" t="s">
        <v>8</v>
      </c>
      <c r="O1" s="4" t="s">
        <v>9</v>
      </c>
      <c r="Q1" s="5" t="s">
        <v>10</v>
      </c>
    </row>
    <row r="2" customFormat="false" ht="15" hidden="false" customHeight="false" outlineLevel="0" collapsed="false">
      <c r="D2" s="0" t="n">
        <v>0.3137255</v>
      </c>
      <c r="E2" s="0" t="n">
        <v>66.78944</v>
      </c>
      <c r="F2" s="6" t="n">
        <v>9.912796</v>
      </c>
      <c r="G2" s="0" t="n">
        <v>-0.1568628</v>
      </c>
      <c r="H2" s="0" t="n">
        <v>23.93123</v>
      </c>
      <c r="I2" s="6" t="n">
        <v>2.617275</v>
      </c>
      <c r="J2" s="0" t="n">
        <v>-6.708561E-009</v>
      </c>
      <c r="K2" s="0" t="n">
        <v>7.212683</v>
      </c>
      <c r="L2" s="6" t="n">
        <v>1.663926</v>
      </c>
      <c r="M2" s="0" t="n">
        <v>0.07843137</v>
      </c>
      <c r="N2" s="0" t="n">
        <v>2.46786</v>
      </c>
      <c r="O2" s="6" t="n">
        <v>0.2699018</v>
      </c>
      <c r="Q2" s="0" t="s">
        <v>11</v>
      </c>
    </row>
    <row r="3" customFormat="false" ht="15" hidden="false" customHeight="false" outlineLevel="0" collapsed="false">
      <c r="D3" s="0" t="n">
        <v>1.019608</v>
      </c>
      <c r="E3" s="0" t="n">
        <v>58.15776</v>
      </c>
      <c r="F3" s="6" t="n">
        <v>9.406372</v>
      </c>
      <c r="G3" s="0" t="n">
        <v>0.07843136</v>
      </c>
      <c r="H3" s="0" t="n">
        <v>24.4896</v>
      </c>
      <c r="I3" s="6" t="n">
        <v>2.993462</v>
      </c>
      <c r="J3" s="0" t="n">
        <v>0.2352941</v>
      </c>
      <c r="K3" s="0" t="n">
        <v>6.65332</v>
      </c>
      <c r="L3" s="6" t="n">
        <v>2.020899</v>
      </c>
      <c r="M3" s="0" t="n">
        <v>0.2352941</v>
      </c>
      <c r="N3" s="0" t="n">
        <v>2.439564</v>
      </c>
      <c r="O3" s="6" t="n">
        <v>0.2981977</v>
      </c>
    </row>
    <row r="4" customFormat="false" ht="15" hidden="false" customHeight="false" outlineLevel="0" collapsed="false">
      <c r="D4" s="0" t="n">
        <v>4</v>
      </c>
      <c r="E4" s="0" t="n">
        <v>35.42002</v>
      </c>
      <c r="F4" s="6" t="n">
        <v>0.8264275</v>
      </c>
      <c r="G4" s="0" t="n">
        <v>0.3137255</v>
      </c>
      <c r="H4" s="0" t="n">
        <v>23.11745</v>
      </c>
      <c r="I4" s="6" t="n">
        <v>2.234226</v>
      </c>
      <c r="J4" s="0" t="n">
        <v>0.3137255</v>
      </c>
      <c r="K4" s="0" t="n">
        <v>6.353383</v>
      </c>
      <c r="L4" s="6" t="n">
        <v>1.287412</v>
      </c>
      <c r="M4" s="0" t="n">
        <v>0.9411765</v>
      </c>
      <c r="N4" s="0" t="n">
        <v>2.075847</v>
      </c>
      <c r="O4" s="6" t="n">
        <v>0.2270286</v>
      </c>
    </row>
    <row r="5" customFormat="false" ht="15" hidden="false" customHeight="false" outlineLevel="0" collapsed="false">
      <c r="D5" s="0" t="n">
        <v>6.980392</v>
      </c>
      <c r="E5" s="0" t="n">
        <v>32.6731</v>
      </c>
      <c r="F5" s="6" t="n">
        <v>1.542465</v>
      </c>
      <c r="G5" s="0" t="n">
        <v>0.9411765</v>
      </c>
      <c r="H5" s="0" t="n">
        <v>20.3633</v>
      </c>
      <c r="I5" s="6" t="n">
        <v>3.293531</v>
      </c>
      <c r="J5" s="0" t="n">
        <v>0.9411765</v>
      </c>
      <c r="K5" s="0" t="n">
        <v>5.468856</v>
      </c>
      <c r="L5" s="6" t="n">
        <v>1.339702</v>
      </c>
      <c r="M5" s="0" t="n">
        <v>3.921569</v>
      </c>
      <c r="N5" s="0" t="n">
        <v>1.402528</v>
      </c>
      <c r="O5" s="6" t="n">
        <v>0.2268431</v>
      </c>
    </row>
    <row r="6" customFormat="false" ht="15" hidden="false" customHeight="false" outlineLevel="0" collapsed="false">
      <c r="D6" s="0" t="n">
        <v>14.03922</v>
      </c>
      <c r="E6" s="0" t="n">
        <v>25.35168</v>
      </c>
      <c r="F6" s="6" t="n">
        <v>3.762651</v>
      </c>
      <c r="G6" s="0" t="n">
        <v>4</v>
      </c>
      <c r="H6" s="0" t="n">
        <v>13.75828</v>
      </c>
      <c r="I6" s="6" t="n">
        <v>1.860824</v>
      </c>
      <c r="J6" s="0" t="n">
        <v>4</v>
      </c>
      <c r="K6" s="0" t="n">
        <v>3.825055</v>
      </c>
      <c r="L6" s="6" t="n">
        <v>0.7223427</v>
      </c>
      <c r="M6" s="0" t="n">
        <v>6.980392</v>
      </c>
      <c r="N6" s="0" t="n">
        <v>1.07577</v>
      </c>
      <c r="O6" s="6" t="n">
        <v>0.1596644</v>
      </c>
    </row>
    <row r="7" customFormat="false" ht="15" hidden="false" customHeight="false" outlineLevel="0" collapsed="false">
      <c r="D7" s="0" t="n">
        <v>20.94118</v>
      </c>
      <c r="E7" s="0" t="n">
        <v>21.08012</v>
      </c>
      <c r="F7" s="6" t="n">
        <v>4.565607</v>
      </c>
      <c r="G7" s="0" t="n">
        <v>6.980392</v>
      </c>
      <c r="H7" s="0" t="n">
        <v>10.67531</v>
      </c>
      <c r="I7" s="6" t="n">
        <v>2.163187</v>
      </c>
      <c r="J7" s="0" t="n">
        <v>6.980392</v>
      </c>
      <c r="K7" s="0" t="n">
        <v>3.292526</v>
      </c>
      <c r="L7" s="6" t="n">
        <v>0.7595675</v>
      </c>
      <c r="M7" s="0" t="n">
        <v>14.03922</v>
      </c>
      <c r="N7" s="0" t="n">
        <v>0.7789074</v>
      </c>
      <c r="O7" s="6" t="n">
        <v>0.1259795</v>
      </c>
    </row>
    <row r="8" customFormat="false" ht="15" hidden="false" customHeight="false" outlineLevel="0" collapsed="false">
      <c r="D8" s="0" t="n">
        <v>34.98039</v>
      </c>
      <c r="E8" s="0" t="n">
        <v>14.2426</v>
      </c>
      <c r="F8" s="6" t="n">
        <v>3.902719</v>
      </c>
      <c r="G8" s="0" t="n">
        <v>14.03922</v>
      </c>
      <c r="H8" s="0" t="n">
        <v>7.909766</v>
      </c>
      <c r="I8" s="6" t="n">
        <v>1.937648</v>
      </c>
      <c r="J8" s="0" t="n">
        <v>14.03922</v>
      </c>
      <c r="K8" s="0" t="n">
        <v>2.411592</v>
      </c>
      <c r="L8" s="6" t="n">
        <v>0.6964543</v>
      </c>
      <c r="M8" s="0" t="n">
        <v>21.01961</v>
      </c>
      <c r="N8" s="0" t="n">
        <v>0.6627793</v>
      </c>
      <c r="O8" s="6" t="n">
        <v>0.1251625</v>
      </c>
    </row>
    <row r="9" customFormat="false" ht="15" hidden="false" customHeight="false" outlineLevel="0" collapsed="false">
      <c r="D9" s="0" t="n">
        <v>55.92157</v>
      </c>
      <c r="E9" s="0" t="n">
        <v>7.909766</v>
      </c>
      <c r="F9" s="6" t="n">
        <v>2.402535</v>
      </c>
      <c r="G9" s="0" t="n">
        <v>20.94118</v>
      </c>
      <c r="H9" s="0" t="n">
        <v>5.344164</v>
      </c>
      <c r="I9" s="6" t="n">
        <v>2.750154</v>
      </c>
      <c r="J9" s="0" t="n">
        <v>21.01961</v>
      </c>
      <c r="K9" s="0" t="n">
        <v>2.075847</v>
      </c>
      <c r="L9" s="6" t="n">
        <v>0.599493</v>
      </c>
      <c r="M9" s="0" t="n">
        <v>34.98039</v>
      </c>
      <c r="N9" s="0" t="n">
        <v>0.5025377</v>
      </c>
      <c r="O9" s="6" t="n">
        <v>0.1018313</v>
      </c>
    </row>
    <row r="10" customFormat="false" ht="15" hidden="false" customHeight="false" outlineLevel="0" collapsed="false">
      <c r="G10" s="0" t="n">
        <v>34.98039</v>
      </c>
      <c r="H10" s="0" t="n">
        <v>4.146638</v>
      </c>
      <c r="I10" s="6" t="n">
        <v>0.783072</v>
      </c>
      <c r="J10" s="0" t="n">
        <v>34.98039</v>
      </c>
      <c r="K10" s="0" t="n">
        <v>1.959538</v>
      </c>
      <c r="L10" s="6" t="n">
        <v>1.04282</v>
      </c>
      <c r="M10" s="0" t="n">
        <v>56</v>
      </c>
      <c r="N10" s="0" t="n">
        <v>0.3723502</v>
      </c>
      <c r="O10" s="6" t="n">
        <v>0.0754509</v>
      </c>
    </row>
    <row r="11" customFormat="false" ht="15" hidden="false" customHeight="false" outlineLevel="0" collapsed="false">
      <c r="G11" s="0" t="n">
        <v>55.92157</v>
      </c>
      <c r="H11" s="0" t="n">
        <v>2.383941</v>
      </c>
      <c r="I11" s="6" t="n">
        <v>0.9854074</v>
      </c>
      <c r="J11" s="0" t="n">
        <v>56</v>
      </c>
      <c r="K11" s="0" t="n">
        <v>0.8541863</v>
      </c>
      <c r="L11" s="6" t="n">
        <v>0.4247377</v>
      </c>
    </row>
  </sheetData>
  <hyperlinks>
    <hyperlink ref="Q1" r:id="rId1" display="Lopez2010_Urtoxazumab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D1" s="1" t="s">
        <v>2</v>
      </c>
      <c r="E1" s="1" t="s">
        <v>3</v>
      </c>
      <c r="F1" s="2" t="s">
        <v>4</v>
      </c>
      <c r="G1" s="2" t="s">
        <v>5</v>
      </c>
      <c r="I1" s="5" t="s">
        <v>10</v>
      </c>
    </row>
    <row r="2" customFormat="false" ht="15" hidden="false" customHeight="false" outlineLevel="0" collapsed="false">
      <c r="A2" s="0" t="n">
        <v>-0.3423913</v>
      </c>
      <c r="B2" s="0" t="n">
        <v>-0.3423913</v>
      </c>
      <c r="D2" s="0" t="n">
        <v>62.30466</v>
      </c>
      <c r="E2" s="6" t="n">
        <v>26.53975</v>
      </c>
      <c r="F2" s="0" t="n">
        <v>19.0907</v>
      </c>
      <c r="G2" s="6" t="n">
        <v>2.652765</v>
      </c>
      <c r="I2" s="0" t="s">
        <v>11</v>
      </c>
    </row>
    <row r="3" customFormat="false" ht="15" hidden="false" customHeight="false" outlineLevel="0" collapsed="false">
      <c r="A3" s="0" t="n">
        <v>-0.1711957</v>
      </c>
      <c r="B3" s="0" t="n">
        <v>-0.1711957</v>
      </c>
      <c r="D3" s="0" t="n">
        <v>47.4646</v>
      </c>
      <c r="E3" s="6" t="n">
        <v>6.595486</v>
      </c>
      <c r="F3" s="0" t="n">
        <v>17.78279</v>
      </c>
      <c r="G3" s="6" t="n">
        <v>5.163717</v>
      </c>
    </row>
    <row r="4" customFormat="false" ht="15" hidden="false" customHeight="false" outlineLevel="0" collapsed="false">
      <c r="A4" s="0" t="n">
        <v>1.540761</v>
      </c>
      <c r="B4" s="0" t="n">
        <v>1.540761</v>
      </c>
      <c r="D4" s="0" t="n">
        <v>41.18376</v>
      </c>
      <c r="E4" s="6" t="n">
        <v>5.722721</v>
      </c>
      <c r="F4" s="0" t="n">
        <v>14.37256</v>
      </c>
      <c r="G4" s="6" t="n">
        <v>1.997155</v>
      </c>
    </row>
    <row r="5" customFormat="false" ht="15" hidden="false" customHeight="false" outlineLevel="0" collapsed="false">
      <c r="A5" s="0" t="n">
        <v>3.595109</v>
      </c>
      <c r="B5" s="0" t="n">
        <v>3.595109</v>
      </c>
      <c r="D5" s="0" t="n">
        <v>29.57266</v>
      </c>
      <c r="E5" s="6" t="n">
        <v>4.510061</v>
      </c>
      <c r="F5" s="0" t="n">
        <v>10.44325</v>
      </c>
      <c r="G5" s="6" t="n">
        <v>2.325971</v>
      </c>
    </row>
    <row r="6" customFormat="false" ht="15" hidden="false" customHeight="false" outlineLevel="0" collapsed="false">
      <c r="A6" s="0" t="n">
        <v>7.532609</v>
      </c>
      <c r="B6" s="0" t="n">
        <v>7.532609</v>
      </c>
      <c r="D6" s="0" t="n">
        <v>20.73867</v>
      </c>
      <c r="E6" s="6" t="n">
        <v>3.734974</v>
      </c>
      <c r="F6" s="0" t="n">
        <v>7.588169</v>
      </c>
      <c r="G6" s="6" t="n">
        <v>1.690074</v>
      </c>
    </row>
    <row r="7" customFormat="false" ht="15" hidden="false" customHeight="false" outlineLevel="0" collapsed="false">
      <c r="A7" s="0" t="n">
        <v>21.57065</v>
      </c>
      <c r="B7" s="0" t="n">
        <v>21.57065</v>
      </c>
      <c r="D7" s="0" t="n">
        <v>12.17914</v>
      </c>
      <c r="E7" s="6" t="n">
        <v>3.434104</v>
      </c>
      <c r="F7" s="0" t="n">
        <v>4.84096</v>
      </c>
      <c r="G7" s="6" t="n">
        <v>1.292016</v>
      </c>
    </row>
    <row r="8" customFormat="false" ht="15" hidden="false" customHeight="false" outlineLevel="0" collapsed="false">
      <c r="A8" s="0" t="n">
        <v>56.49456</v>
      </c>
      <c r="B8" s="0" t="n">
        <v>56.49456</v>
      </c>
      <c r="D8" s="0" t="n">
        <v>3.776198</v>
      </c>
      <c r="E8" s="6" t="n">
        <v>2.073363</v>
      </c>
      <c r="F8" s="0" t="n">
        <v>1.689428</v>
      </c>
      <c r="G8" s="6" t="n">
        <v>0.6913141</v>
      </c>
    </row>
    <row r="9" customFormat="false" ht="15" hidden="false" customHeight="false" outlineLevel="0" collapsed="false">
      <c r="A9" s="0" t="n">
        <v>119.4946</v>
      </c>
      <c r="B9" s="0" t="n">
        <v>119.4946</v>
      </c>
      <c r="D9" s="0" t="n">
        <v>0.7124259</v>
      </c>
      <c r="E9" s="6" t="n">
        <v>0.7023411</v>
      </c>
      <c r="F9" s="0" t="n">
        <v>0.3076194</v>
      </c>
      <c r="G9" s="6" t="n">
        <v>0.2960817</v>
      </c>
    </row>
  </sheetData>
  <hyperlinks>
    <hyperlink ref="I1" r:id="rId1" display="Lopez2010_Urtoxazumab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0.6796875" defaultRowHeight="15" customHeight="true" zeroHeight="false" outlineLevelRow="0" outlineLevelCol="0"/>
  <cols>
    <col collapsed="false" customWidth="true" hidden="false" outlineLevel="0" max="2" min="2" style="0" width="18.86"/>
    <col collapsed="false" customWidth="true" hidden="false" outlineLevel="0" max="5" min="5" style="0" width="13.42"/>
    <col collapsed="false" customWidth="true" hidden="false" outlineLevel="0" max="6" min="6" style="0" width="18.86"/>
  </cols>
  <sheetData>
    <row r="1" customFormat="false" ht="15" hidden="false" customHeight="false" outlineLevel="0" collapsed="false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G1" s="0" t="s">
        <v>16</v>
      </c>
      <c r="J1" s="0" t="s">
        <v>17</v>
      </c>
    </row>
    <row r="2" customFormat="false" ht="15" hidden="false" customHeight="false" outlineLevel="0" collapsed="false">
      <c r="A2" s="0" t="n">
        <f aca="false">8/24</f>
        <v>0.333333333333333</v>
      </c>
      <c r="B2" s="0" t="n">
        <v>0.3137255</v>
      </c>
      <c r="C2" s="0" t="n">
        <v>66.78944</v>
      </c>
      <c r="D2" s="6" t="n">
        <v>9.912796</v>
      </c>
      <c r="E2" s="0" t="n">
        <v>3</v>
      </c>
      <c r="J2" s="0" t="n">
        <f aca="false">(5+30)/60/24</f>
        <v>0.0243055555555556</v>
      </c>
    </row>
    <row r="3" customFormat="false" ht="15" hidden="false" customHeight="false" outlineLevel="0" collapsed="false">
      <c r="A3" s="0" t="n">
        <v>1</v>
      </c>
      <c r="B3" s="0" t="n">
        <v>1.019608</v>
      </c>
      <c r="C3" s="0" t="n">
        <v>58.15776</v>
      </c>
      <c r="D3" s="6" t="n">
        <v>9.406372</v>
      </c>
      <c r="E3" s="0" t="n">
        <v>3</v>
      </c>
      <c r="J3" s="0" t="n">
        <f aca="false">1/24</f>
        <v>0.0416666666666667</v>
      </c>
    </row>
    <row r="4" customFormat="false" ht="15" hidden="false" customHeight="false" outlineLevel="0" collapsed="false">
      <c r="A4" s="0" t="n">
        <v>4</v>
      </c>
      <c r="B4" s="0" t="n">
        <v>4</v>
      </c>
      <c r="C4" s="0" t="n">
        <v>35.42002</v>
      </c>
      <c r="D4" s="6" t="n">
        <v>0.8264275</v>
      </c>
      <c r="E4" s="0" t="n">
        <v>3</v>
      </c>
      <c r="J4" s="0" t="n">
        <f aca="false">4/24</f>
        <v>0.166666666666667</v>
      </c>
    </row>
    <row r="5" customFormat="false" ht="15" hidden="false" customHeight="false" outlineLevel="0" collapsed="false">
      <c r="A5" s="0" t="n">
        <v>7</v>
      </c>
      <c r="B5" s="0" t="n">
        <v>6.980392</v>
      </c>
      <c r="C5" s="0" t="n">
        <v>32.6731</v>
      </c>
      <c r="D5" s="6" t="n">
        <v>1.542465</v>
      </c>
      <c r="E5" s="0" t="n">
        <v>3</v>
      </c>
      <c r="J5" s="0" t="n">
        <f aca="false">8/24</f>
        <v>0.333333333333333</v>
      </c>
    </row>
    <row r="6" customFormat="false" ht="15" hidden="false" customHeight="false" outlineLevel="0" collapsed="false">
      <c r="A6" s="0" t="n">
        <v>14</v>
      </c>
      <c r="B6" s="0" t="n">
        <v>14.03922</v>
      </c>
      <c r="C6" s="0" t="n">
        <v>25.35168</v>
      </c>
      <c r="D6" s="6" t="n">
        <v>3.762651</v>
      </c>
      <c r="E6" s="0" t="n">
        <v>3</v>
      </c>
      <c r="J6" s="0" t="n">
        <v>1</v>
      </c>
    </row>
    <row r="7" customFormat="false" ht="15" hidden="false" customHeight="false" outlineLevel="0" collapsed="false">
      <c r="A7" s="0" t="n">
        <v>21</v>
      </c>
      <c r="B7" s="0" t="n">
        <v>20.94118</v>
      </c>
      <c r="C7" s="0" t="n">
        <v>21.08012</v>
      </c>
      <c r="D7" s="6" t="n">
        <v>4.565607</v>
      </c>
      <c r="E7" s="0" t="n">
        <v>3</v>
      </c>
      <c r="J7" s="0" t="n">
        <v>4</v>
      </c>
    </row>
    <row r="8" customFormat="false" ht="15" hidden="false" customHeight="false" outlineLevel="0" collapsed="false">
      <c r="A8" s="0" t="n">
        <v>35</v>
      </c>
      <c r="B8" s="0" t="n">
        <v>34.98039</v>
      </c>
      <c r="C8" s="0" t="n">
        <v>14.2426</v>
      </c>
      <c r="D8" s="6" t="n">
        <v>3.902719</v>
      </c>
      <c r="E8" s="0" t="n">
        <v>3</v>
      </c>
      <c r="J8" s="0" t="n">
        <v>7</v>
      </c>
    </row>
    <row r="9" customFormat="false" ht="15" hidden="false" customHeight="false" outlineLevel="0" collapsed="false">
      <c r="A9" s="0" t="n">
        <v>56</v>
      </c>
      <c r="B9" s="0" t="n">
        <v>55.92157</v>
      </c>
      <c r="C9" s="0" t="n">
        <v>7.909766</v>
      </c>
      <c r="D9" s="6" t="n">
        <v>2.402535</v>
      </c>
      <c r="E9" s="0" t="n">
        <v>3</v>
      </c>
      <c r="J9" s="0" t="n">
        <v>14</v>
      </c>
    </row>
    <row r="10" customFormat="false" ht="15" hidden="false" customHeight="false" outlineLevel="0" collapsed="false">
      <c r="A10" s="0" t="n">
        <f aca="false">(5+30)/60/24</f>
        <v>0.0243055555555556</v>
      </c>
      <c r="B10" s="0" t="n">
        <v>-0.1568628</v>
      </c>
      <c r="C10" s="0" t="n">
        <v>23.93123</v>
      </c>
      <c r="D10" s="6" t="n">
        <v>2.617275</v>
      </c>
      <c r="E10" s="0" t="n">
        <v>1</v>
      </c>
      <c r="J10" s="0" t="n">
        <v>21</v>
      </c>
    </row>
    <row r="11" customFormat="false" ht="15" hidden="false" customHeight="false" outlineLevel="0" collapsed="false">
      <c r="A11" s="0" t="n">
        <f aca="false">1/24</f>
        <v>0.0416666666666667</v>
      </c>
      <c r="B11" s="0" t="n">
        <v>0.07843136</v>
      </c>
      <c r="C11" s="0" t="n">
        <v>24.4896</v>
      </c>
      <c r="D11" s="6" t="n">
        <v>2.993462</v>
      </c>
      <c r="E11" s="0" t="n">
        <v>1</v>
      </c>
      <c r="J11" s="0" t="n">
        <v>35</v>
      </c>
    </row>
    <row r="12" customFormat="false" ht="15" hidden="false" customHeight="false" outlineLevel="0" collapsed="false">
      <c r="A12" s="0" t="n">
        <f aca="false">8/24</f>
        <v>0.333333333333333</v>
      </c>
      <c r="B12" s="0" t="n">
        <v>0.3137255</v>
      </c>
      <c r="C12" s="0" t="n">
        <v>23.11745</v>
      </c>
      <c r="D12" s="6" t="n">
        <v>2.234226</v>
      </c>
      <c r="E12" s="0" t="n">
        <v>1</v>
      </c>
      <c r="J12" s="0" t="n">
        <v>56</v>
      </c>
    </row>
    <row r="13" customFormat="false" ht="15" hidden="false" customHeight="false" outlineLevel="0" collapsed="false">
      <c r="A13" s="0" t="n">
        <v>1</v>
      </c>
      <c r="B13" s="0" t="n">
        <v>0.9411765</v>
      </c>
      <c r="C13" s="0" t="n">
        <v>20.3633</v>
      </c>
      <c r="D13" s="6" t="n">
        <v>3.293531</v>
      </c>
      <c r="E13" s="0" t="n">
        <v>1</v>
      </c>
    </row>
    <row r="14" customFormat="false" ht="15" hidden="false" customHeight="false" outlineLevel="0" collapsed="false">
      <c r="A14" s="0" t="n">
        <v>4</v>
      </c>
      <c r="B14" s="0" t="n">
        <v>4</v>
      </c>
      <c r="C14" s="0" t="n">
        <v>13.75828</v>
      </c>
      <c r="D14" s="6" t="n">
        <v>1.860824</v>
      </c>
      <c r="E14" s="0" t="n">
        <v>1</v>
      </c>
    </row>
    <row r="15" customFormat="false" ht="15" hidden="false" customHeight="false" outlineLevel="0" collapsed="false">
      <c r="A15" s="0" t="n">
        <v>7</v>
      </c>
      <c r="B15" s="0" t="n">
        <v>6.980392</v>
      </c>
      <c r="C15" s="0" t="n">
        <v>10.67531</v>
      </c>
      <c r="D15" s="6" t="n">
        <v>2.163187</v>
      </c>
      <c r="E15" s="0" t="n">
        <v>1</v>
      </c>
    </row>
    <row r="16" customFormat="false" ht="15" hidden="false" customHeight="false" outlineLevel="0" collapsed="false">
      <c r="A16" s="0" t="n">
        <v>14</v>
      </c>
      <c r="B16" s="0" t="n">
        <v>14.03922</v>
      </c>
      <c r="C16" s="0" t="n">
        <v>7.909766</v>
      </c>
      <c r="D16" s="6" t="n">
        <v>1.937648</v>
      </c>
      <c r="E16" s="0" t="n">
        <v>1</v>
      </c>
    </row>
    <row r="17" customFormat="false" ht="15" hidden="false" customHeight="false" outlineLevel="0" collapsed="false">
      <c r="A17" s="0" t="n">
        <v>21</v>
      </c>
      <c r="B17" s="0" t="n">
        <v>20.94118</v>
      </c>
      <c r="C17" s="0" t="n">
        <v>5.344164</v>
      </c>
      <c r="D17" s="6" t="n">
        <v>2.750154</v>
      </c>
      <c r="E17" s="0" t="n">
        <v>1</v>
      </c>
    </row>
    <row r="18" customFormat="false" ht="15" hidden="false" customHeight="false" outlineLevel="0" collapsed="false">
      <c r="A18" s="0" t="n">
        <v>35</v>
      </c>
      <c r="B18" s="0" t="n">
        <v>34.98039</v>
      </c>
      <c r="C18" s="0" t="n">
        <v>4.146638</v>
      </c>
      <c r="D18" s="6" t="n">
        <v>0.783072</v>
      </c>
      <c r="E18" s="0" t="n">
        <v>1</v>
      </c>
    </row>
    <row r="19" customFormat="false" ht="15" hidden="false" customHeight="false" outlineLevel="0" collapsed="false">
      <c r="A19" s="0" t="n">
        <v>56</v>
      </c>
      <c r="B19" s="0" t="n">
        <v>55.92157</v>
      </c>
      <c r="C19" s="0" t="n">
        <v>2.383941</v>
      </c>
      <c r="D19" s="6" t="n">
        <v>0.9854074</v>
      </c>
      <c r="E19" s="0" t="n">
        <v>1</v>
      </c>
    </row>
    <row r="20" customFormat="false" ht="15" hidden="false" customHeight="false" outlineLevel="0" collapsed="false">
      <c r="A20" s="0" t="n">
        <f aca="false">(5+30)/60/24</f>
        <v>0.0243055555555556</v>
      </c>
      <c r="B20" s="0" t="n">
        <v>-6.708561E-009</v>
      </c>
      <c r="C20" s="0" t="n">
        <v>7.212683</v>
      </c>
      <c r="D20" s="6" t="n">
        <v>1.663926</v>
      </c>
      <c r="E20" s="0" t="n">
        <v>0.3</v>
      </c>
    </row>
    <row r="21" customFormat="false" ht="15" hidden="false" customHeight="false" outlineLevel="0" collapsed="false">
      <c r="A21" s="0" t="n">
        <f aca="false">4/24</f>
        <v>0.166666666666667</v>
      </c>
      <c r="B21" s="0" t="n">
        <v>0.2352941</v>
      </c>
      <c r="C21" s="0" t="n">
        <v>6.65332</v>
      </c>
      <c r="D21" s="6" t="n">
        <v>2.020899</v>
      </c>
      <c r="E21" s="0" t="n">
        <v>0.3</v>
      </c>
    </row>
    <row r="22" customFormat="false" ht="15" hidden="false" customHeight="false" outlineLevel="0" collapsed="false">
      <c r="A22" s="0" t="n">
        <f aca="false">8/24</f>
        <v>0.333333333333333</v>
      </c>
      <c r="B22" s="0" t="n">
        <v>0.3137255</v>
      </c>
      <c r="C22" s="0" t="n">
        <v>6.353383</v>
      </c>
      <c r="D22" s="6" t="n">
        <v>1.287412</v>
      </c>
      <c r="E22" s="0" t="n">
        <v>0.3</v>
      </c>
    </row>
    <row r="23" customFormat="false" ht="15" hidden="false" customHeight="false" outlineLevel="0" collapsed="false">
      <c r="A23" s="0" t="n">
        <v>1</v>
      </c>
      <c r="B23" s="0" t="n">
        <v>0.9411765</v>
      </c>
      <c r="C23" s="0" t="n">
        <v>5.468856</v>
      </c>
      <c r="D23" s="6" t="n">
        <v>1.339702</v>
      </c>
      <c r="E23" s="0" t="n">
        <v>0.3</v>
      </c>
    </row>
    <row r="24" customFormat="false" ht="15" hidden="false" customHeight="false" outlineLevel="0" collapsed="false">
      <c r="A24" s="0" t="n">
        <v>4</v>
      </c>
      <c r="B24" s="0" t="n">
        <v>4</v>
      </c>
      <c r="C24" s="0" t="n">
        <v>3.825055</v>
      </c>
      <c r="D24" s="6" t="n">
        <v>0.7223427</v>
      </c>
      <c r="E24" s="0" t="n">
        <v>0.3</v>
      </c>
    </row>
    <row r="25" customFormat="false" ht="15" hidden="false" customHeight="false" outlineLevel="0" collapsed="false">
      <c r="A25" s="0" t="n">
        <v>7</v>
      </c>
      <c r="B25" s="0" t="n">
        <v>6.980392</v>
      </c>
      <c r="C25" s="0" t="n">
        <v>3.292526</v>
      </c>
      <c r="D25" s="6" t="n">
        <v>0.7595675</v>
      </c>
      <c r="E25" s="0" t="n">
        <v>0.3</v>
      </c>
    </row>
    <row r="26" customFormat="false" ht="15" hidden="false" customHeight="false" outlineLevel="0" collapsed="false">
      <c r="A26" s="0" t="n">
        <v>14</v>
      </c>
      <c r="B26" s="0" t="n">
        <v>14.03922</v>
      </c>
      <c r="C26" s="0" t="n">
        <v>2.411592</v>
      </c>
      <c r="D26" s="6" t="n">
        <v>0.6964543</v>
      </c>
      <c r="E26" s="0" t="n">
        <v>0.3</v>
      </c>
    </row>
    <row r="27" customFormat="false" ht="15" hidden="false" customHeight="false" outlineLevel="0" collapsed="false">
      <c r="A27" s="0" t="n">
        <v>21</v>
      </c>
      <c r="B27" s="0" t="n">
        <v>21.01961</v>
      </c>
      <c r="C27" s="0" t="n">
        <v>2.075847</v>
      </c>
      <c r="D27" s="6" t="n">
        <v>0.599493</v>
      </c>
      <c r="E27" s="0" t="n">
        <v>0.3</v>
      </c>
    </row>
    <row r="28" customFormat="false" ht="15" hidden="false" customHeight="false" outlineLevel="0" collapsed="false">
      <c r="A28" s="0" t="n">
        <v>35</v>
      </c>
      <c r="B28" s="0" t="n">
        <v>34.98039</v>
      </c>
      <c r="C28" s="0" t="n">
        <v>1.959538</v>
      </c>
      <c r="D28" s="6" t="n">
        <v>1.04282</v>
      </c>
      <c r="E28" s="0" t="n">
        <v>0.3</v>
      </c>
    </row>
    <row r="29" customFormat="false" ht="15" hidden="false" customHeight="false" outlineLevel="0" collapsed="false">
      <c r="A29" s="0" t="n">
        <v>56</v>
      </c>
      <c r="B29" s="0" t="n">
        <v>56</v>
      </c>
      <c r="C29" s="0" t="n">
        <v>0.8541863</v>
      </c>
      <c r="D29" s="6" t="n">
        <v>0.4247377</v>
      </c>
      <c r="E29" s="0" t="n">
        <v>0.3</v>
      </c>
    </row>
    <row r="30" customFormat="false" ht="15" hidden="false" customHeight="false" outlineLevel="0" collapsed="false">
      <c r="A30" s="0" t="n">
        <f aca="false">1/24</f>
        <v>0.0416666666666667</v>
      </c>
      <c r="B30" s="0" t="n">
        <v>0.07843137</v>
      </c>
      <c r="C30" s="0" t="n">
        <v>2.46786</v>
      </c>
      <c r="D30" s="6" t="n">
        <v>0.2699018</v>
      </c>
      <c r="E30" s="0" t="n">
        <v>0.1</v>
      </c>
    </row>
    <row r="31" customFormat="false" ht="15" hidden="false" customHeight="false" outlineLevel="0" collapsed="false">
      <c r="A31" s="0" t="n">
        <f aca="false">8/24</f>
        <v>0.333333333333333</v>
      </c>
      <c r="B31" s="0" t="n">
        <v>0.2352941</v>
      </c>
      <c r="C31" s="0" t="n">
        <v>2.439564</v>
      </c>
      <c r="D31" s="6" t="n">
        <v>0.2981977</v>
      </c>
      <c r="E31" s="0" t="n">
        <v>0.1</v>
      </c>
    </row>
    <row r="32" customFormat="false" ht="15" hidden="false" customHeight="false" outlineLevel="0" collapsed="false">
      <c r="A32" s="0" t="n">
        <v>1</v>
      </c>
      <c r="B32" s="0" t="n">
        <v>0.9411765</v>
      </c>
      <c r="C32" s="0" t="n">
        <v>2.075847</v>
      </c>
      <c r="D32" s="6" t="n">
        <v>0.2270286</v>
      </c>
      <c r="E32" s="0" t="n">
        <v>0.1</v>
      </c>
    </row>
    <row r="33" customFormat="false" ht="15" hidden="false" customHeight="false" outlineLevel="0" collapsed="false">
      <c r="A33" s="0" t="n">
        <v>4</v>
      </c>
      <c r="B33" s="0" t="n">
        <v>3.921569</v>
      </c>
      <c r="C33" s="0" t="n">
        <v>1.402528</v>
      </c>
      <c r="D33" s="6" t="n">
        <v>0.2268431</v>
      </c>
      <c r="E33" s="0" t="n">
        <v>0.1</v>
      </c>
    </row>
    <row r="34" customFormat="false" ht="15" hidden="false" customHeight="false" outlineLevel="0" collapsed="false">
      <c r="A34" s="0" t="n">
        <v>7</v>
      </c>
      <c r="B34" s="0" t="n">
        <v>6.980392</v>
      </c>
      <c r="C34" s="0" t="n">
        <v>1.07577</v>
      </c>
      <c r="D34" s="6" t="n">
        <v>0.1596644</v>
      </c>
      <c r="E34" s="0" t="n">
        <v>0.1</v>
      </c>
    </row>
    <row r="35" customFormat="false" ht="15" hidden="false" customHeight="false" outlineLevel="0" collapsed="false">
      <c r="A35" s="0" t="n">
        <v>14</v>
      </c>
      <c r="B35" s="0" t="n">
        <v>14.03922</v>
      </c>
      <c r="C35" s="0" t="n">
        <v>0.7789074</v>
      </c>
      <c r="D35" s="6" t="n">
        <v>0.1259795</v>
      </c>
      <c r="E35" s="0" t="n">
        <v>0.1</v>
      </c>
    </row>
    <row r="36" customFormat="false" ht="15" hidden="false" customHeight="false" outlineLevel="0" collapsed="false">
      <c r="A36" s="0" t="n">
        <v>21</v>
      </c>
      <c r="B36" s="0" t="n">
        <v>21.01961</v>
      </c>
      <c r="C36" s="0" t="n">
        <v>0.6627793</v>
      </c>
      <c r="D36" s="6" t="n">
        <v>0.1251625</v>
      </c>
      <c r="E36" s="0" t="n">
        <v>0.1</v>
      </c>
    </row>
    <row r="37" customFormat="false" ht="15" hidden="false" customHeight="false" outlineLevel="0" collapsed="false">
      <c r="A37" s="0" t="n">
        <v>35</v>
      </c>
      <c r="B37" s="0" t="n">
        <v>34.98039</v>
      </c>
      <c r="C37" s="0" t="n">
        <v>0.5025377</v>
      </c>
      <c r="D37" s="6" t="n">
        <v>0.1018313</v>
      </c>
      <c r="E37" s="0" t="n">
        <v>0.1</v>
      </c>
    </row>
    <row r="38" customFormat="false" ht="15" hidden="false" customHeight="false" outlineLevel="0" collapsed="false">
      <c r="A38" s="0" t="n">
        <v>56</v>
      </c>
      <c r="B38" s="0" t="n">
        <v>56</v>
      </c>
      <c r="C38" s="0" t="n">
        <v>0.3723502</v>
      </c>
      <c r="D38" s="6" t="n">
        <v>0.0754509</v>
      </c>
      <c r="E38" s="0" t="n">
        <v>0.1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0.6796875" defaultRowHeight="15" customHeight="true" zeroHeight="false" outlineLevelRow="0" outlineLevelCol="0"/>
  <cols>
    <col collapsed="false" customWidth="true" hidden="false" outlineLevel="0" max="3" min="2" style="0" width="14.14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0" t="s">
        <v>0</v>
      </c>
      <c r="B1" s="0" t="s">
        <v>13</v>
      </c>
      <c r="C1" s="0" t="s">
        <v>14</v>
      </c>
      <c r="D1" s="0" t="s">
        <v>15</v>
      </c>
      <c r="G1" s="0" t="s">
        <v>18</v>
      </c>
    </row>
    <row r="2" customFormat="false" ht="15" hidden="false" customHeight="false" outlineLevel="0" collapsed="false">
      <c r="A2" s="0" t="n">
        <f aca="false">(60+5)/60/24</f>
        <v>0.0451388888888889</v>
      </c>
      <c r="B2" s="0" t="n">
        <v>62.30466</v>
      </c>
      <c r="C2" s="6" t="n">
        <v>26.53975</v>
      </c>
      <c r="D2" s="0" t="n">
        <v>3</v>
      </c>
    </row>
    <row r="3" customFormat="false" ht="15" hidden="false" customHeight="false" outlineLevel="0" collapsed="false">
      <c r="A3" s="0" t="n">
        <f aca="false">6/24</f>
        <v>0.25</v>
      </c>
      <c r="B3" s="0" t="n">
        <v>47.4646</v>
      </c>
      <c r="C3" s="6" t="n">
        <v>6.595486</v>
      </c>
      <c r="D3" s="0" t="n">
        <v>3</v>
      </c>
    </row>
    <row r="4" customFormat="false" ht="15" hidden="false" customHeight="false" outlineLevel="0" collapsed="false">
      <c r="A4" s="0" t="n">
        <v>1</v>
      </c>
      <c r="B4" s="0" t="n">
        <v>41.18376</v>
      </c>
      <c r="C4" s="6" t="n">
        <v>5.722721</v>
      </c>
      <c r="D4" s="0" t="n">
        <v>3</v>
      </c>
    </row>
    <row r="5" customFormat="false" ht="15" hidden="false" customHeight="false" outlineLevel="0" collapsed="false">
      <c r="A5" s="0" t="n">
        <v>3</v>
      </c>
      <c r="B5" s="0" t="n">
        <v>29.57266</v>
      </c>
      <c r="C5" s="6" t="n">
        <v>4.510061</v>
      </c>
      <c r="D5" s="0" t="n">
        <v>3</v>
      </c>
    </row>
    <row r="6" customFormat="false" ht="15" hidden="false" customHeight="false" outlineLevel="0" collapsed="false">
      <c r="A6" s="0" t="n">
        <v>7</v>
      </c>
      <c r="B6" s="0" t="n">
        <v>20.73867</v>
      </c>
      <c r="C6" s="6" t="n">
        <v>3.734974</v>
      </c>
      <c r="D6" s="0" t="n">
        <v>3</v>
      </c>
    </row>
    <row r="7" customFormat="false" ht="15" hidden="false" customHeight="false" outlineLevel="0" collapsed="false">
      <c r="A7" s="0" t="n">
        <v>21</v>
      </c>
      <c r="B7" s="0" t="n">
        <v>12.17914</v>
      </c>
      <c r="C7" s="6" t="n">
        <v>3.434104</v>
      </c>
      <c r="D7" s="0" t="n">
        <v>3</v>
      </c>
    </row>
    <row r="8" customFormat="false" ht="15" hidden="false" customHeight="false" outlineLevel="0" collapsed="false">
      <c r="A8" s="0" t="n">
        <v>56</v>
      </c>
      <c r="B8" s="0" t="n">
        <v>3.776198</v>
      </c>
      <c r="C8" s="6" t="n">
        <v>2.073363</v>
      </c>
      <c r="D8" s="0" t="n">
        <v>3</v>
      </c>
    </row>
    <row r="9" customFormat="false" ht="15" hidden="false" customHeight="false" outlineLevel="0" collapsed="false">
      <c r="A9" s="0" t="n">
        <v>119</v>
      </c>
      <c r="B9" s="0" t="n">
        <v>0.7124259</v>
      </c>
      <c r="C9" s="6" t="n">
        <v>0.7023411</v>
      </c>
      <c r="D9" s="0" t="n">
        <v>3</v>
      </c>
    </row>
    <row r="10" customFormat="false" ht="15" hidden="false" customHeight="false" outlineLevel="0" collapsed="false">
      <c r="A10" s="0" t="n">
        <f aca="false">(60+5)/60/24</f>
        <v>0.0451388888888889</v>
      </c>
      <c r="B10" s="0" t="n">
        <v>19.0907</v>
      </c>
      <c r="C10" s="6" t="n">
        <v>2.652765</v>
      </c>
      <c r="D10" s="0" t="n">
        <v>1</v>
      </c>
    </row>
    <row r="11" customFormat="false" ht="15" hidden="false" customHeight="false" outlineLevel="0" collapsed="false">
      <c r="A11" s="0" t="n">
        <f aca="false">6/24</f>
        <v>0.25</v>
      </c>
      <c r="B11" s="0" t="n">
        <v>17.78279</v>
      </c>
      <c r="C11" s="6" t="n">
        <v>5.163717</v>
      </c>
      <c r="D11" s="0" t="n">
        <v>1</v>
      </c>
    </row>
    <row r="12" customFormat="false" ht="15" hidden="false" customHeight="false" outlineLevel="0" collapsed="false">
      <c r="A12" s="0" t="n">
        <v>1</v>
      </c>
      <c r="B12" s="0" t="n">
        <v>14.37256</v>
      </c>
      <c r="C12" s="6" t="n">
        <v>1.997155</v>
      </c>
      <c r="D12" s="0" t="n">
        <v>1</v>
      </c>
    </row>
    <row r="13" customFormat="false" ht="15" hidden="false" customHeight="false" outlineLevel="0" collapsed="false">
      <c r="A13" s="0" t="n">
        <v>3</v>
      </c>
      <c r="B13" s="0" t="n">
        <v>10.44325</v>
      </c>
      <c r="C13" s="6" t="n">
        <v>2.325971</v>
      </c>
      <c r="D13" s="0" t="n">
        <v>1</v>
      </c>
    </row>
    <row r="14" customFormat="false" ht="15" hidden="false" customHeight="false" outlineLevel="0" collapsed="false">
      <c r="A14" s="0" t="n">
        <v>7</v>
      </c>
      <c r="B14" s="0" t="n">
        <v>7.588169</v>
      </c>
      <c r="C14" s="6" t="n">
        <v>1.690074</v>
      </c>
      <c r="D14" s="0" t="n">
        <v>1</v>
      </c>
    </row>
    <row r="15" customFormat="false" ht="15" hidden="false" customHeight="false" outlineLevel="0" collapsed="false">
      <c r="A15" s="0" t="n">
        <v>21</v>
      </c>
      <c r="B15" s="0" t="n">
        <v>4.84096</v>
      </c>
      <c r="C15" s="6" t="n">
        <v>1.292016</v>
      </c>
      <c r="D15" s="0" t="n">
        <v>1</v>
      </c>
    </row>
    <row r="16" customFormat="false" ht="15" hidden="false" customHeight="false" outlineLevel="0" collapsed="false">
      <c r="A16" s="0" t="n">
        <v>56</v>
      </c>
      <c r="B16" s="0" t="n">
        <v>1.689428</v>
      </c>
      <c r="C16" s="6" t="n">
        <v>0.6913141</v>
      </c>
      <c r="D16" s="0" t="n">
        <v>1</v>
      </c>
    </row>
    <row r="17" customFormat="false" ht="15" hidden="false" customHeight="false" outlineLevel="0" collapsed="false">
      <c r="A17" s="0" t="n">
        <v>119</v>
      </c>
      <c r="B17" s="0" t="n">
        <v>0.3076194</v>
      </c>
      <c r="C17" s="6" t="n">
        <v>0.2960817</v>
      </c>
      <c r="D17" s="0" t="n">
        <v>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2026-02-10T17:19:04Z</dcterms:created>
  <dc:creator>Dr. Christoph Niederalt</dc:creator>
  <dc:description/>
  <dc:language>en-US</dc:language>
  <cp:lastModifiedBy/>
  <dcterms:modified xsi:type="dcterms:W3CDTF">2026-08-07T08:36:51Z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97506520-e073-4e4b-85e3-91caaf19f0da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2026-02-10T18:02:44Z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