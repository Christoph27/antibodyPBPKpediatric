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22755" windowHeight="1357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50" i="1" l="1"/>
  <c r="D49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<sst xmlns="http://schemas.openxmlformats.org/spreadsheetml/2006/main" count="245" uniqueCount="25">
  <si>
    <t>Study ID</t>
  </si>
  <si>
    <t>Dose</t>
  </si>
  <si>
    <t>Inf Time</t>
  </si>
  <si>
    <t>Time [h]</t>
  </si>
  <si>
    <t>Concentration [ug/mL]</t>
  </si>
  <si>
    <t>N</t>
  </si>
  <si>
    <t>Age</t>
  </si>
  <si>
    <t>Weight</t>
  </si>
  <si>
    <t>Height</t>
  </si>
  <si>
    <t>% Male</t>
  </si>
  <si>
    <t>Mean/Median</t>
  </si>
  <si>
    <r>
      <t xml:space="preserve">2.9 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 xml:space="preserve"> 2.4</t>
    </r>
  </si>
  <si>
    <t>Mean</t>
  </si>
  <si>
    <r>
      <t xml:space="preserve">14.7 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 xml:space="preserve"> 5.4</t>
    </r>
  </si>
  <si>
    <r>
      <t xml:space="preserve">14.5 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 xml:space="preserve"> 6.5</t>
    </r>
  </si>
  <si>
    <r>
      <t xml:space="preserve">2.8 </t>
    </r>
    <r>
      <rPr>
        <sz val="11"/>
        <color theme="1"/>
        <rFont val="Calibri"/>
        <family val="2"/>
      </rPr>
      <t>± 2.4</t>
    </r>
  </si>
  <si>
    <t>LopezKid1</t>
  </si>
  <si>
    <t>LopezKid3</t>
  </si>
  <si>
    <t>Lopez3</t>
  </si>
  <si>
    <t>Lopez1</t>
  </si>
  <si>
    <t>Lopez0_3</t>
  </si>
  <si>
    <t>Lopez0_1</t>
  </si>
  <si>
    <t>40 [19-60]</t>
  </si>
  <si>
    <t>75 [48-95]</t>
  </si>
  <si>
    <t>175 [157-193]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</si>
</sst>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workbookViewId="0">
      <selection activeCell="M11" sqref="M11"/>
    </sheetView>
  </sheetViews>
  <sheetFormatPr defaultRowHeight="15" x14ac:dyDescent="0.25"/>
  <cols>
    <col min="5" max="5" width="21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17</v>
      </c>
      <c r="B2">
        <v>3</v>
      </c>
      <c r="C2">
        <v>1</v>
      </c>
      <c r="D2">
        <v>1</v>
      </c>
      <c r="E2">
        <v>56.116540000000001</v>
      </c>
      <c r="F2">
        <v>38</v>
      </c>
      <c r="G2" t="s">
        <v>11</v>
      </c>
      <c r="H2" t="s">
        <v>13</v>
      </c>
      <c r="J2">
        <v>0.52600000000000002</v>
      </c>
      <c r="K2" t="s">
        <v>12</v>
      </c>
    </row>
    <row r="3" spans="1:11" x14ac:dyDescent="0.25">
      <c r="A3" t="s">
        <v>17</v>
      </c>
      <c r="B3">
        <v>3</v>
      </c>
      <c r="C3">
        <v>1</v>
      </c>
      <c r="D3">
        <v>6</v>
      </c>
      <c r="E3">
        <v>47.621119999999998</v>
      </c>
      <c r="F3">
        <v>38</v>
      </c>
      <c r="G3" t="s">
        <v>11</v>
      </c>
      <c r="H3" t="s">
        <v>13</v>
      </c>
      <c r="J3">
        <v>0.52600000000000002</v>
      </c>
      <c r="K3" t="s">
        <v>12</v>
      </c>
    </row>
    <row r="4" spans="1:11" x14ac:dyDescent="0.25">
      <c r="A4" t="s">
        <v>17</v>
      </c>
      <c r="B4">
        <v>3</v>
      </c>
      <c r="C4">
        <v>1</v>
      </c>
      <c r="D4">
        <v>48</v>
      </c>
      <c r="E4">
        <v>41.017257999999998</v>
      </c>
      <c r="F4">
        <v>38</v>
      </c>
      <c r="G4" t="s">
        <v>11</v>
      </c>
      <c r="H4" t="s">
        <v>13</v>
      </c>
      <c r="J4">
        <v>0.52600000000000002</v>
      </c>
      <c r="K4" t="s">
        <v>12</v>
      </c>
    </row>
    <row r="5" spans="1:11" x14ac:dyDescent="0.25">
      <c r="A5" t="s">
        <v>17</v>
      </c>
      <c r="B5">
        <v>3</v>
      </c>
      <c r="C5">
        <v>1</v>
      </c>
      <c r="D5">
        <f>4*24</f>
        <v>96</v>
      </c>
      <c r="E5">
        <v>29.615069999999999</v>
      </c>
      <c r="F5">
        <v>38</v>
      </c>
      <c r="G5" t="s">
        <v>11</v>
      </c>
      <c r="H5" t="s">
        <v>13</v>
      </c>
      <c r="J5">
        <v>0.52600000000000002</v>
      </c>
      <c r="K5" t="s">
        <v>12</v>
      </c>
    </row>
    <row r="6" spans="1:11" x14ac:dyDescent="0.25">
      <c r="A6" t="s">
        <v>17</v>
      </c>
      <c r="B6">
        <v>3</v>
      </c>
      <c r="C6">
        <v>1</v>
      </c>
      <c r="D6">
        <f>8*24</f>
        <v>192</v>
      </c>
      <c r="E6">
        <v>20.809954000000001</v>
      </c>
      <c r="F6">
        <v>38</v>
      </c>
      <c r="G6" t="s">
        <v>11</v>
      </c>
      <c r="H6" t="s">
        <v>13</v>
      </c>
      <c r="J6">
        <v>0.52600000000000002</v>
      </c>
      <c r="K6" t="s">
        <v>12</v>
      </c>
    </row>
    <row r="7" spans="1:11" x14ac:dyDescent="0.25">
      <c r="A7" t="s">
        <v>17</v>
      </c>
      <c r="B7">
        <v>3</v>
      </c>
      <c r="C7">
        <v>1</v>
      </c>
      <c r="D7">
        <f>22*24</f>
        <v>528</v>
      </c>
      <c r="E7">
        <v>11.9294615</v>
      </c>
      <c r="F7">
        <v>38</v>
      </c>
      <c r="G7" t="s">
        <v>11</v>
      </c>
      <c r="H7" t="s">
        <v>13</v>
      </c>
      <c r="J7">
        <v>0.52600000000000002</v>
      </c>
      <c r="K7" t="s">
        <v>12</v>
      </c>
    </row>
    <row r="8" spans="1:11" x14ac:dyDescent="0.25">
      <c r="A8" t="s">
        <v>17</v>
      </c>
      <c r="B8">
        <v>3</v>
      </c>
      <c r="C8">
        <v>1</v>
      </c>
      <c r="D8">
        <f>57*24</f>
        <v>1368</v>
      </c>
      <c r="E8">
        <v>3.7469152999999999</v>
      </c>
      <c r="F8">
        <v>38</v>
      </c>
      <c r="G8" t="s">
        <v>11</v>
      </c>
      <c r="H8" t="s">
        <v>13</v>
      </c>
      <c r="J8">
        <v>0.52600000000000002</v>
      </c>
      <c r="K8" t="s">
        <v>12</v>
      </c>
    </row>
    <row r="9" spans="1:11" x14ac:dyDescent="0.25">
      <c r="A9" t="s">
        <v>17</v>
      </c>
      <c r="B9">
        <v>3</v>
      </c>
      <c r="C9">
        <v>1</v>
      </c>
      <c r="D9">
        <f>120*24</f>
        <v>2880</v>
      </c>
      <c r="E9">
        <v>0.70268123999999998</v>
      </c>
      <c r="F9">
        <v>38</v>
      </c>
      <c r="G9" t="s">
        <v>11</v>
      </c>
      <c r="H9" t="s">
        <v>13</v>
      </c>
      <c r="J9">
        <v>0.52600000000000002</v>
      </c>
      <c r="K9" t="s">
        <v>12</v>
      </c>
    </row>
    <row r="10" spans="1:11" x14ac:dyDescent="0.25">
      <c r="A10" t="s">
        <v>16</v>
      </c>
      <c r="B10">
        <v>1</v>
      </c>
      <c r="C10">
        <v>1</v>
      </c>
      <c r="D10">
        <v>1</v>
      </c>
      <c r="E10">
        <v>19.532876999999999</v>
      </c>
      <c r="F10">
        <v>35</v>
      </c>
      <c r="G10" t="s">
        <v>15</v>
      </c>
      <c r="H10" t="s">
        <v>14</v>
      </c>
      <c r="J10">
        <v>0.48599999999999999</v>
      </c>
      <c r="K10" t="s">
        <v>12</v>
      </c>
    </row>
    <row r="11" spans="1:11" x14ac:dyDescent="0.25">
      <c r="A11" t="s">
        <v>16</v>
      </c>
      <c r="B11">
        <v>1</v>
      </c>
      <c r="C11">
        <v>1</v>
      </c>
      <c r="D11">
        <v>6</v>
      </c>
      <c r="E11">
        <v>17.924130999999999</v>
      </c>
      <c r="F11">
        <v>35</v>
      </c>
      <c r="G11" t="s">
        <v>15</v>
      </c>
      <c r="H11" t="s">
        <v>14</v>
      </c>
      <c r="J11">
        <v>0.48599999999999999</v>
      </c>
      <c r="K11" t="s">
        <v>12</v>
      </c>
    </row>
    <row r="12" spans="1:11" x14ac:dyDescent="0.25">
      <c r="A12" t="s">
        <v>16</v>
      </c>
      <c r="B12">
        <v>1</v>
      </c>
      <c r="C12">
        <v>1</v>
      </c>
      <c r="D12">
        <v>48</v>
      </c>
      <c r="E12">
        <v>14.295729</v>
      </c>
      <c r="F12">
        <v>35</v>
      </c>
      <c r="G12" t="s">
        <v>15</v>
      </c>
      <c r="H12" t="s">
        <v>14</v>
      </c>
      <c r="J12">
        <v>0.48599999999999999</v>
      </c>
      <c r="K12" t="s">
        <v>12</v>
      </c>
    </row>
    <row r="13" spans="1:11" x14ac:dyDescent="0.25">
      <c r="A13" t="s">
        <v>16</v>
      </c>
      <c r="B13">
        <v>1</v>
      </c>
      <c r="C13">
        <v>1</v>
      </c>
      <c r="D13">
        <v>96</v>
      </c>
      <c r="E13">
        <v>10.275142000000001</v>
      </c>
      <c r="F13">
        <v>35</v>
      </c>
      <c r="G13" t="s">
        <v>15</v>
      </c>
      <c r="H13" t="s">
        <v>14</v>
      </c>
      <c r="J13">
        <v>0.48599999999999999</v>
      </c>
      <c r="K13" t="s">
        <v>12</v>
      </c>
    </row>
    <row r="14" spans="1:11" x14ac:dyDescent="0.25">
      <c r="A14" t="s">
        <v>16</v>
      </c>
      <c r="B14">
        <v>1</v>
      </c>
      <c r="C14">
        <v>1</v>
      </c>
      <c r="D14">
        <v>192</v>
      </c>
      <c r="E14">
        <v>7.5885214999999997</v>
      </c>
      <c r="F14">
        <v>35</v>
      </c>
      <c r="G14" t="s">
        <v>15</v>
      </c>
      <c r="H14" t="s">
        <v>14</v>
      </c>
      <c r="J14">
        <v>0.48599999999999999</v>
      </c>
      <c r="K14" t="s">
        <v>12</v>
      </c>
    </row>
    <row r="15" spans="1:11" x14ac:dyDescent="0.25">
      <c r="A15" t="s">
        <v>16</v>
      </c>
      <c r="B15">
        <v>1</v>
      </c>
      <c r="C15">
        <v>1</v>
      </c>
      <c r="D15">
        <v>528</v>
      </c>
      <c r="E15">
        <v>4.7837033</v>
      </c>
      <c r="F15">
        <v>35</v>
      </c>
      <c r="G15" t="s">
        <v>15</v>
      </c>
      <c r="H15" t="s">
        <v>14</v>
      </c>
      <c r="J15">
        <v>0.48599999999999999</v>
      </c>
      <c r="K15" t="s">
        <v>12</v>
      </c>
    </row>
    <row r="16" spans="1:11" x14ac:dyDescent="0.25">
      <c r="A16" t="s">
        <v>16</v>
      </c>
      <c r="B16">
        <v>1</v>
      </c>
      <c r="C16">
        <v>1</v>
      </c>
      <c r="D16">
        <v>1368</v>
      </c>
      <c r="E16">
        <v>1.6900432999999999</v>
      </c>
      <c r="F16">
        <v>35</v>
      </c>
      <c r="G16" t="s">
        <v>15</v>
      </c>
      <c r="H16" t="s">
        <v>14</v>
      </c>
      <c r="J16">
        <v>0.48599999999999999</v>
      </c>
      <c r="K16" t="s">
        <v>12</v>
      </c>
    </row>
    <row r="17" spans="1:11" x14ac:dyDescent="0.25">
      <c r="A17" t="s">
        <v>16</v>
      </c>
      <c r="B17">
        <v>1</v>
      </c>
      <c r="C17">
        <v>1</v>
      </c>
      <c r="D17">
        <v>2880</v>
      </c>
      <c r="E17">
        <v>0.30292560000000002</v>
      </c>
      <c r="F17">
        <v>35</v>
      </c>
      <c r="G17" t="s">
        <v>15</v>
      </c>
      <c r="H17" t="s">
        <v>14</v>
      </c>
      <c r="J17">
        <v>0.48599999999999999</v>
      </c>
      <c r="K17" t="s">
        <v>12</v>
      </c>
    </row>
    <row r="18" spans="1:11" x14ac:dyDescent="0.25">
      <c r="A18" t="s">
        <v>18</v>
      </c>
      <c r="B18">
        <v>3</v>
      </c>
      <c r="C18">
        <v>0.5</v>
      </c>
      <c r="D18">
        <v>4</v>
      </c>
      <c r="E18">
        <v>71.791399999999996</v>
      </c>
      <c r="F18">
        <v>6</v>
      </c>
      <c r="G18" t="s">
        <v>22</v>
      </c>
      <c r="H18" t="s">
        <v>23</v>
      </c>
      <c r="I18" t="s">
        <v>24</v>
      </c>
      <c r="J18">
        <v>0.53100000000000003</v>
      </c>
      <c r="K18" t="s">
        <v>12</v>
      </c>
    </row>
    <row r="19" spans="1:11" x14ac:dyDescent="0.25">
      <c r="A19" t="s">
        <v>18</v>
      </c>
      <c r="B19">
        <v>3</v>
      </c>
      <c r="C19">
        <v>0.5</v>
      </c>
      <c r="D19">
        <v>8</v>
      </c>
      <c r="E19">
        <v>67.717830000000006</v>
      </c>
      <c r="F19">
        <v>6</v>
      </c>
      <c r="G19" t="s">
        <v>22</v>
      </c>
      <c r="H19" t="s">
        <v>23</v>
      </c>
      <c r="I19" t="s">
        <v>24</v>
      </c>
      <c r="J19">
        <v>0.53100000000000003</v>
      </c>
      <c r="K19" t="s">
        <v>12</v>
      </c>
    </row>
    <row r="20" spans="1:11" x14ac:dyDescent="0.25">
      <c r="A20" t="s">
        <v>18</v>
      </c>
      <c r="B20">
        <v>3</v>
      </c>
      <c r="C20">
        <v>0.5</v>
      </c>
      <c r="D20">
        <v>24</v>
      </c>
      <c r="E20">
        <v>57.407283999999997</v>
      </c>
      <c r="F20">
        <v>6</v>
      </c>
      <c r="G20" t="s">
        <v>22</v>
      </c>
      <c r="H20" t="s">
        <v>23</v>
      </c>
      <c r="I20" t="s">
        <v>24</v>
      </c>
      <c r="J20">
        <v>0.53100000000000003</v>
      </c>
      <c r="K20" t="s">
        <v>12</v>
      </c>
    </row>
    <row r="21" spans="1:11" x14ac:dyDescent="0.25">
      <c r="A21" t="s">
        <v>18</v>
      </c>
      <c r="B21">
        <v>3</v>
      </c>
      <c r="C21">
        <v>0.5</v>
      </c>
      <c r="D21">
        <v>96</v>
      </c>
      <c r="E21">
        <v>35.675269999999998</v>
      </c>
      <c r="F21">
        <v>6</v>
      </c>
      <c r="G21" t="s">
        <v>22</v>
      </c>
      <c r="H21" t="s">
        <v>23</v>
      </c>
      <c r="I21" t="s">
        <v>24</v>
      </c>
      <c r="J21">
        <v>0.53100000000000003</v>
      </c>
      <c r="K21" t="s">
        <v>12</v>
      </c>
    </row>
    <row r="22" spans="1:11" x14ac:dyDescent="0.25">
      <c r="A22" t="s">
        <v>18</v>
      </c>
      <c r="B22">
        <v>3</v>
      </c>
      <c r="C22">
        <v>0.5</v>
      </c>
      <c r="D22">
        <v>168</v>
      </c>
      <c r="E22">
        <v>32.738937</v>
      </c>
      <c r="F22">
        <v>6</v>
      </c>
      <c r="G22" t="s">
        <v>22</v>
      </c>
      <c r="H22" t="s">
        <v>23</v>
      </c>
      <c r="I22" t="s">
        <v>24</v>
      </c>
      <c r="J22">
        <v>0.53100000000000003</v>
      </c>
      <c r="K22" t="s">
        <v>12</v>
      </c>
    </row>
    <row r="23" spans="1:11" x14ac:dyDescent="0.25">
      <c r="A23" t="s">
        <v>18</v>
      </c>
      <c r="B23">
        <v>3</v>
      </c>
      <c r="C23">
        <v>0.5</v>
      </c>
      <c r="D23">
        <v>336</v>
      </c>
      <c r="E23">
        <v>25.30209</v>
      </c>
      <c r="F23">
        <v>6</v>
      </c>
      <c r="G23" t="s">
        <v>22</v>
      </c>
      <c r="H23" t="s">
        <v>23</v>
      </c>
      <c r="I23" t="s">
        <v>24</v>
      </c>
      <c r="J23">
        <v>0.53100000000000003</v>
      </c>
      <c r="K23" t="s">
        <v>12</v>
      </c>
    </row>
    <row r="24" spans="1:11" x14ac:dyDescent="0.25">
      <c r="A24" t="s">
        <v>18</v>
      </c>
      <c r="B24">
        <v>3</v>
      </c>
      <c r="C24">
        <v>0.5</v>
      </c>
      <c r="D24">
        <v>504</v>
      </c>
      <c r="E24">
        <v>21.308405</v>
      </c>
      <c r="F24">
        <v>6</v>
      </c>
      <c r="G24" t="s">
        <v>22</v>
      </c>
      <c r="H24" t="s">
        <v>23</v>
      </c>
      <c r="I24" t="s">
        <v>24</v>
      </c>
      <c r="J24">
        <v>0.53100000000000003</v>
      </c>
      <c r="K24" t="s">
        <v>12</v>
      </c>
    </row>
    <row r="25" spans="1:11" x14ac:dyDescent="0.25">
      <c r="A25" t="s">
        <v>18</v>
      </c>
      <c r="B25">
        <v>3</v>
      </c>
      <c r="C25">
        <v>0.5</v>
      </c>
      <c r="D25">
        <v>840</v>
      </c>
      <c r="E25">
        <v>14.334564</v>
      </c>
      <c r="F25">
        <v>6</v>
      </c>
      <c r="G25" t="s">
        <v>22</v>
      </c>
      <c r="H25" t="s">
        <v>23</v>
      </c>
      <c r="I25" t="s">
        <v>24</v>
      </c>
      <c r="J25">
        <v>0.53100000000000003</v>
      </c>
      <c r="K25" t="s">
        <v>12</v>
      </c>
    </row>
    <row r="26" spans="1:11" x14ac:dyDescent="0.25">
      <c r="A26" t="s">
        <v>18</v>
      </c>
      <c r="B26">
        <v>3</v>
      </c>
      <c r="C26">
        <v>0.5</v>
      </c>
      <c r="D26">
        <v>2880</v>
      </c>
      <c r="E26">
        <v>8.0144500000000001</v>
      </c>
      <c r="F26">
        <v>6</v>
      </c>
      <c r="G26" t="s">
        <v>22</v>
      </c>
      <c r="H26" t="s">
        <v>23</v>
      </c>
      <c r="I26" t="s">
        <v>24</v>
      </c>
      <c r="J26">
        <v>0.53100000000000003</v>
      </c>
      <c r="K26" t="s">
        <v>12</v>
      </c>
    </row>
    <row r="27" spans="1:11" x14ac:dyDescent="0.25">
      <c r="A27" t="s">
        <v>19</v>
      </c>
      <c r="B27">
        <v>1</v>
      </c>
      <c r="C27">
        <v>0.5</v>
      </c>
      <c r="D27">
        <v>4</v>
      </c>
      <c r="E27">
        <v>25.502089999999999</v>
      </c>
      <c r="F27">
        <v>6</v>
      </c>
      <c r="G27" t="s">
        <v>22</v>
      </c>
      <c r="H27" t="s">
        <v>23</v>
      </c>
      <c r="I27" t="s">
        <v>24</v>
      </c>
      <c r="J27">
        <v>0.53100000000000003</v>
      </c>
      <c r="K27" t="s">
        <v>12</v>
      </c>
    </row>
    <row r="28" spans="1:11" x14ac:dyDescent="0.25">
      <c r="A28" t="s">
        <v>19</v>
      </c>
      <c r="B28">
        <v>1</v>
      </c>
      <c r="C28">
        <v>0.5</v>
      </c>
      <c r="D28">
        <v>24</v>
      </c>
      <c r="E28">
        <v>20.480204000000001</v>
      </c>
      <c r="F28">
        <v>6</v>
      </c>
      <c r="G28" t="s">
        <v>22</v>
      </c>
      <c r="H28" t="s">
        <v>23</v>
      </c>
      <c r="I28" t="s">
        <v>24</v>
      </c>
      <c r="J28">
        <v>0.53100000000000003</v>
      </c>
      <c r="K28" t="s">
        <v>12</v>
      </c>
    </row>
    <row r="29" spans="1:11" x14ac:dyDescent="0.25">
      <c r="A29" t="s">
        <v>19</v>
      </c>
      <c r="B29">
        <v>1</v>
      </c>
      <c r="C29">
        <v>0.5</v>
      </c>
      <c r="D29">
        <v>96</v>
      </c>
      <c r="E29">
        <v>13.960686000000001</v>
      </c>
      <c r="F29">
        <v>6</v>
      </c>
      <c r="G29" t="s">
        <v>22</v>
      </c>
      <c r="H29" t="s">
        <v>23</v>
      </c>
      <c r="I29" t="s">
        <v>24</v>
      </c>
      <c r="J29">
        <v>0.53100000000000003</v>
      </c>
      <c r="K29" t="s">
        <v>12</v>
      </c>
    </row>
    <row r="30" spans="1:11" x14ac:dyDescent="0.25">
      <c r="A30" t="s">
        <v>19</v>
      </c>
      <c r="B30">
        <v>1</v>
      </c>
      <c r="C30">
        <v>0.5</v>
      </c>
      <c r="D30">
        <v>168</v>
      </c>
      <c r="E30">
        <v>10.718379000000001</v>
      </c>
      <c r="F30">
        <v>6</v>
      </c>
      <c r="G30" t="s">
        <v>22</v>
      </c>
      <c r="H30" t="s">
        <v>23</v>
      </c>
      <c r="I30" t="s">
        <v>24</v>
      </c>
      <c r="J30">
        <v>0.53100000000000003</v>
      </c>
      <c r="K30" t="s">
        <v>12</v>
      </c>
    </row>
    <row r="31" spans="1:11" x14ac:dyDescent="0.25">
      <c r="A31" t="s">
        <v>19</v>
      </c>
      <c r="B31">
        <v>1</v>
      </c>
      <c r="C31">
        <v>0.5</v>
      </c>
      <c r="D31">
        <v>336</v>
      </c>
      <c r="E31">
        <v>7.9616723</v>
      </c>
      <c r="F31">
        <v>6</v>
      </c>
      <c r="G31" t="s">
        <v>22</v>
      </c>
      <c r="H31" t="s">
        <v>23</v>
      </c>
      <c r="I31" t="s">
        <v>24</v>
      </c>
      <c r="J31">
        <v>0.53100000000000003</v>
      </c>
      <c r="K31" t="s">
        <v>12</v>
      </c>
    </row>
    <row r="32" spans="1:11" x14ac:dyDescent="0.25">
      <c r="A32" t="s">
        <v>19</v>
      </c>
      <c r="B32">
        <v>1</v>
      </c>
      <c r="C32">
        <v>0.5</v>
      </c>
      <c r="D32">
        <v>504</v>
      </c>
      <c r="E32">
        <v>5.3206959999999999</v>
      </c>
      <c r="F32">
        <v>6</v>
      </c>
      <c r="G32" t="s">
        <v>22</v>
      </c>
      <c r="H32" t="s">
        <v>23</v>
      </c>
      <c r="I32" t="s">
        <v>24</v>
      </c>
      <c r="J32">
        <v>0.53100000000000003</v>
      </c>
      <c r="K32" t="s">
        <v>12</v>
      </c>
    </row>
    <row r="33" spans="1:11" x14ac:dyDescent="0.25">
      <c r="A33" t="s">
        <v>19</v>
      </c>
      <c r="B33">
        <v>1</v>
      </c>
      <c r="C33">
        <v>0.5</v>
      </c>
      <c r="D33">
        <v>840</v>
      </c>
      <c r="E33">
        <v>4.1120676999999999</v>
      </c>
      <c r="F33">
        <v>6</v>
      </c>
      <c r="G33" t="s">
        <v>22</v>
      </c>
      <c r="H33" t="s">
        <v>23</v>
      </c>
      <c r="I33" t="s">
        <v>24</v>
      </c>
      <c r="J33">
        <v>0.53100000000000003</v>
      </c>
      <c r="K33" t="s">
        <v>12</v>
      </c>
    </row>
    <row r="34" spans="1:11" x14ac:dyDescent="0.25">
      <c r="A34" t="s">
        <v>19</v>
      </c>
      <c r="B34">
        <v>1</v>
      </c>
      <c r="C34">
        <v>0.5</v>
      </c>
      <c r="D34">
        <v>2880</v>
      </c>
      <c r="E34">
        <v>2.3920273999999999</v>
      </c>
      <c r="F34">
        <v>6</v>
      </c>
      <c r="G34" t="s">
        <v>22</v>
      </c>
      <c r="H34" t="s">
        <v>23</v>
      </c>
      <c r="I34" t="s">
        <v>24</v>
      </c>
      <c r="J34">
        <v>0.53100000000000003</v>
      </c>
      <c r="K34" t="s">
        <v>12</v>
      </c>
    </row>
    <row r="35" spans="1:11" x14ac:dyDescent="0.25">
      <c r="A35" t="s">
        <v>20</v>
      </c>
      <c r="B35">
        <v>0.3</v>
      </c>
      <c r="C35">
        <v>0.5</v>
      </c>
      <c r="D35">
        <v>4</v>
      </c>
      <c r="E35">
        <v>7.7029505</v>
      </c>
      <c r="G35" t="s">
        <v>22</v>
      </c>
      <c r="H35" t="s">
        <v>23</v>
      </c>
      <c r="I35" t="s">
        <v>24</v>
      </c>
      <c r="J35">
        <v>0.53100000000000003</v>
      </c>
      <c r="K35" t="s">
        <v>12</v>
      </c>
    </row>
    <row r="36" spans="1:11" x14ac:dyDescent="0.25">
      <c r="A36" t="s">
        <v>20</v>
      </c>
      <c r="B36">
        <v>0.3</v>
      </c>
      <c r="C36">
        <v>0.5</v>
      </c>
      <c r="D36">
        <v>8</v>
      </c>
      <c r="E36">
        <v>6.4019570000000003</v>
      </c>
      <c r="G36" t="s">
        <v>22</v>
      </c>
      <c r="H36" t="s">
        <v>23</v>
      </c>
      <c r="I36" t="s">
        <v>24</v>
      </c>
      <c r="J36">
        <v>0.53100000000000003</v>
      </c>
      <c r="K36" t="s">
        <v>12</v>
      </c>
    </row>
    <row r="37" spans="1:11" x14ac:dyDescent="0.25">
      <c r="A37" t="s">
        <v>20</v>
      </c>
      <c r="B37">
        <v>0.3</v>
      </c>
      <c r="C37">
        <v>0.5</v>
      </c>
      <c r="D37">
        <v>24</v>
      </c>
      <c r="E37">
        <v>5.4631885999999996</v>
      </c>
      <c r="G37" t="s">
        <v>22</v>
      </c>
      <c r="H37" t="s">
        <v>23</v>
      </c>
      <c r="I37" t="s">
        <v>24</v>
      </c>
      <c r="J37">
        <v>0.53100000000000003</v>
      </c>
      <c r="K37" t="s">
        <v>12</v>
      </c>
    </row>
    <row r="38" spans="1:11" x14ac:dyDescent="0.25">
      <c r="A38" t="s">
        <v>20</v>
      </c>
      <c r="B38">
        <v>0.3</v>
      </c>
      <c r="C38">
        <v>0.5</v>
      </c>
      <c r="D38">
        <v>96</v>
      </c>
      <c r="E38">
        <v>3.8746749999999999</v>
      </c>
      <c r="G38" t="s">
        <v>22</v>
      </c>
      <c r="H38" t="s">
        <v>23</v>
      </c>
      <c r="I38" t="s">
        <v>24</v>
      </c>
      <c r="J38">
        <v>0.53100000000000003</v>
      </c>
      <c r="K38" t="s">
        <v>12</v>
      </c>
    </row>
    <row r="39" spans="1:11" x14ac:dyDescent="0.25">
      <c r="A39" t="s">
        <v>20</v>
      </c>
      <c r="B39">
        <v>0.3</v>
      </c>
      <c r="C39">
        <v>0.5</v>
      </c>
      <c r="D39">
        <v>168</v>
      </c>
      <c r="E39">
        <v>3.2847270000000002</v>
      </c>
      <c r="G39" t="s">
        <v>22</v>
      </c>
      <c r="H39" t="s">
        <v>23</v>
      </c>
      <c r="I39" t="s">
        <v>24</v>
      </c>
      <c r="J39">
        <v>0.53100000000000003</v>
      </c>
      <c r="K39" t="s">
        <v>12</v>
      </c>
    </row>
    <row r="40" spans="1:11" x14ac:dyDescent="0.25">
      <c r="A40" t="s">
        <v>20</v>
      </c>
      <c r="B40">
        <v>0.3</v>
      </c>
      <c r="C40">
        <v>0.5</v>
      </c>
      <c r="D40">
        <v>336</v>
      </c>
      <c r="E40">
        <v>2.4238460000000002</v>
      </c>
      <c r="G40" t="s">
        <v>22</v>
      </c>
      <c r="H40" t="s">
        <v>23</v>
      </c>
      <c r="I40" t="s">
        <v>24</v>
      </c>
      <c r="J40">
        <v>0.53100000000000003</v>
      </c>
      <c r="K40" t="s">
        <v>12</v>
      </c>
    </row>
    <row r="41" spans="1:11" x14ac:dyDescent="0.25">
      <c r="A41" t="s">
        <v>20</v>
      </c>
      <c r="B41">
        <v>0.3</v>
      </c>
      <c r="C41">
        <v>0.5</v>
      </c>
      <c r="D41">
        <v>504</v>
      </c>
      <c r="E41">
        <v>2.1098265999999999</v>
      </c>
      <c r="G41" t="s">
        <v>22</v>
      </c>
      <c r="H41" t="s">
        <v>23</v>
      </c>
      <c r="I41" t="s">
        <v>24</v>
      </c>
      <c r="J41">
        <v>0.53100000000000003</v>
      </c>
      <c r="K41" t="s">
        <v>12</v>
      </c>
    </row>
    <row r="42" spans="1:11" x14ac:dyDescent="0.25">
      <c r="A42" t="s">
        <v>20</v>
      </c>
      <c r="B42">
        <v>0.3</v>
      </c>
      <c r="C42">
        <v>0.5</v>
      </c>
      <c r="D42">
        <v>840</v>
      </c>
      <c r="E42">
        <v>1.9880248</v>
      </c>
      <c r="G42" t="s">
        <v>22</v>
      </c>
      <c r="H42" t="s">
        <v>23</v>
      </c>
      <c r="I42" t="s">
        <v>24</v>
      </c>
      <c r="J42">
        <v>0.53100000000000003</v>
      </c>
      <c r="K42" t="s">
        <v>12</v>
      </c>
    </row>
    <row r="43" spans="1:11" x14ac:dyDescent="0.25">
      <c r="A43" t="s">
        <v>20</v>
      </c>
      <c r="B43">
        <v>0.3</v>
      </c>
      <c r="C43">
        <v>0.5</v>
      </c>
      <c r="D43">
        <v>2880</v>
      </c>
      <c r="E43">
        <v>0.86471366999999999</v>
      </c>
      <c r="G43" t="s">
        <v>22</v>
      </c>
      <c r="H43" t="s">
        <v>23</v>
      </c>
      <c r="I43" t="s">
        <v>24</v>
      </c>
      <c r="J43">
        <v>0.53100000000000003</v>
      </c>
      <c r="K43" t="s">
        <v>12</v>
      </c>
    </row>
    <row r="44" spans="1:11" x14ac:dyDescent="0.25">
      <c r="A44" t="s">
        <v>21</v>
      </c>
      <c r="B44">
        <v>0.1</v>
      </c>
      <c r="C44">
        <v>0.5</v>
      </c>
      <c r="D44">
        <v>4</v>
      </c>
      <c r="E44">
        <v>2.5723495000000001</v>
      </c>
      <c r="G44" t="s">
        <v>22</v>
      </c>
      <c r="H44" t="s">
        <v>23</v>
      </c>
      <c r="I44" t="s">
        <v>24</v>
      </c>
      <c r="J44">
        <v>0.53100000000000003</v>
      </c>
      <c r="K44" t="s">
        <v>12</v>
      </c>
    </row>
    <row r="45" spans="1:11" x14ac:dyDescent="0.25">
      <c r="A45" t="s">
        <v>21</v>
      </c>
      <c r="B45">
        <v>0.1</v>
      </c>
      <c r="C45">
        <v>0.5</v>
      </c>
      <c r="D45">
        <v>24</v>
      </c>
      <c r="E45">
        <v>2.0684187000000001</v>
      </c>
      <c r="G45" t="s">
        <v>22</v>
      </c>
      <c r="H45" t="s">
        <v>23</v>
      </c>
      <c r="I45" t="s">
        <v>24</v>
      </c>
      <c r="J45">
        <v>0.53100000000000003</v>
      </c>
      <c r="K45" t="s">
        <v>12</v>
      </c>
    </row>
    <row r="46" spans="1:11" x14ac:dyDescent="0.25">
      <c r="A46" t="s">
        <v>21</v>
      </c>
      <c r="B46">
        <v>0.1</v>
      </c>
      <c r="C46">
        <v>0.5</v>
      </c>
      <c r="D46">
        <v>96</v>
      </c>
      <c r="E46">
        <v>1.4287287</v>
      </c>
      <c r="G46" t="s">
        <v>22</v>
      </c>
      <c r="H46" t="s">
        <v>23</v>
      </c>
      <c r="I46" t="s">
        <v>24</v>
      </c>
      <c r="J46">
        <v>0.53100000000000003</v>
      </c>
      <c r="K46" t="s">
        <v>12</v>
      </c>
    </row>
    <row r="47" spans="1:11" x14ac:dyDescent="0.25">
      <c r="A47" t="s">
        <v>21</v>
      </c>
      <c r="B47">
        <v>0.1</v>
      </c>
      <c r="C47">
        <v>0.5</v>
      </c>
      <c r="D47">
        <v>168</v>
      </c>
      <c r="E47">
        <v>1.0825134999999999</v>
      </c>
      <c r="G47" t="s">
        <v>22</v>
      </c>
      <c r="H47" t="s">
        <v>23</v>
      </c>
      <c r="I47" t="s">
        <v>24</v>
      </c>
      <c r="J47">
        <v>0.53100000000000003</v>
      </c>
      <c r="K47" t="s">
        <v>12</v>
      </c>
    </row>
    <row r="48" spans="1:11" x14ac:dyDescent="0.25">
      <c r="A48" t="s">
        <v>21</v>
      </c>
      <c r="B48">
        <v>0.1</v>
      </c>
      <c r="C48">
        <v>0.5</v>
      </c>
      <c r="D48">
        <v>336</v>
      </c>
      <c r="E48">
        <v>0.79354139999999995</v>
      </c>
      <c r="G48" t="s">
        <v>22</v>
      </c>
      <c r="H48" t="s">
        <v>23</v>
      </c>
      <c r="I48" t="s">
        <v>24</v>
      </c>
      <c r="J48">
        <v>0.53100000000000003</v>
      </c>
      <c r="K48" t="s">
        <v>12</v>
      </c>
    </row>
    <row r="49" spans="1:11" x14ac:dyDescent="0.25">
      <c r="A49" t="s">
        <v>21</v>
      </c>
      <c r="B49">
        <v>0.1</v>
      </c>
      <c r="C49">
        <v>0.5</v>
      </c>
      <c r="D49">
        <f>21*24</f>
        <v>504</v>
      </c>
      <c r="E49">
        <v>0.66388780000000003</v>
      </c>
      <c r="G49" t="s">
        <v>22</v>
      </c>
      <c r="H49" t="s">
        <v>23</v>
      </c>
      <c r="I49" t="s">
        <v>24</v>
      </c>
      <c r="J49">
        <v>0.53100000000000003</v>
      </c>
      <c r="K49" t="s">
        <v>12</v>
      </c>
    </row>
    <row r="50" spans="1:11" x14ac:dyDescent="0.25">
      <c r="A50" t="s">
        <v>21</v>
      </c>
      <c r="B50">
        <v>0.1</v>
      </c>
      <c r="C50">
        <v>0.5</v>
      </c>
      <c r="D50">
        <f>35*24</f>
        <v>840</v>
      </c>
      <c r="E50">
        <v>0.50301180000000001</v>
      </c>
      <c r="G50" t="s">
        <v>22</v>
      </c>
      <c r="H50" t="s">
        <v>23</v>
      </c>
      <c r="I50" t="s">
        <v>24</v>
      </c>
      <c r="J50">
        <v>0.53100000000000003</v>
      </c>
      <c r="K50" t="s">
        <v>12</v>
      </c>
    </row>
    <row r="51" spans="1:11" x14ac:dyDescent="0.25">
      <c r="A51" t="s">
        <v>21</v>
      </c>
      <c r="B51">
        <v>0.1</v>
      </c>
      <c r="C51">
        <v>0.5</v>
      </c>
      <c r="D51">
        <v>2880</v>
      </c>
      <c r="E51">
        <v>0.37364000000000003</v>
      </c>
      <c r="G51" t="s">
        <v>22</v>
      </c>
      <c r="H51" t="s">
        <v>23</v>
      </c>
      <c r="I51" t="s">
        <v>24</v>
      </c>
      <c r="J51">
        <v>0.53100000000000003</v>
      </c>
      <c r="K51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prvmalik</dc:creator>
  <cp:lastModifiedBy>prvmalik</cp:lastModifiedBy>
  <dcterms:created xsi:type="dcterms:W3CDTF">2019-04-29T21:29:44Z</dcterms:created>
  <dcterms:modified xsi:type="dcterms:W3CDTF">2019-06-25T17:00:15Z</dcterms:modified>
</cp:coreProperties>
</file>