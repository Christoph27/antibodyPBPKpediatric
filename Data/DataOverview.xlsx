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ta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<sst xmlns="http://schemas.openxmlformats.org/spreadsheetml/2006/main" count="577" uniqueCount="198">
  <si>
    <t xml:space="preserve">studyID</t>
  </si>
  <si>
    <t xml:space="preserve">Drug</t>
  </si>
  <si>
    <t xml:space="preserve">Target</t>
  </si>
  <si>
    <t xml:space="preserve">gestational age [wks]</t>
  </si>
  <si>
    <t xml:space="preserve">gestational age SD [wks]</t>
  </si>
  <si>
    <t xml:space="preserve">mean age/Median/typical age [yrs]</t>
  </si>
  <si>
    <t xml:space="preserve">age SD [yrs]</t>
  </si>
  <si>
    <t xml:space="preserve">age range min [yrs]</t>
  </si>
  <si>
    <t xml:space="preserve">age range max [yrs]</t>
  </si>
  <si>
    <t xml:space="preserve">age inclusion criterion min [yrs]</t>
  </si>
  <si>
    <t xml:space="preserve">age inclusion criterion max [yrs]</t>
  </si>
  <si>
    <t xml:space="preserve">number ind.</t>
  </si>
  <si>
    <t xml:space="preserve">dose [mg/kg ]</t>
  </si>
  <si>
    <t xml:space="preserve">dose [mg ]</t>
  </si>
  <si>
    <t xml:space="preserve">dose [mg/m^2]</t>
  </si>
  <si>
    <t xml:space="preserve">Body weight [kg]</t>
  </si>
  <si>
    <t xml:space="preserve">BSA [m^2]</t>
  </si>
  <si>
    <t xml:space="preserve">dose comment</t>
  </si>
  <si>
    <t xml:space="preserve">Route</t>
  </si>
  <si>
    <t xml:space="preserve">population</t>
  </si>
  <si>
    <t xml:space="preserve">half-life [days]</t>
  </si>
  <si>
    <t xml:space="preserve">half-life SD [days]</t>
  </si>
  <si>
    <t xml:space="preserve">AUCinf [µg day/ml]]</t>
  </si>
  <si>
    <t xml:space="preserve">AUCinf SD [µg day/ml]]</t>
  </si>
  <si>
    <t xml:space="preserve">individual data reported</t>
  </si>
  <si>
    <t xml:space="preserve">apparent TMDD, entry per compound, (linear/non linear in Kumar2026)</t>
  </si>
  <si>
    <t xml:space="preserve">comment</t>
  </si>
  <si>
    <t xml:space="preserve">Lopez2010</t>
  </si>
  <si>
    <t xml:space="preserve">Urtoxazumab</t>
  </si>
  <si>
    <t xml:space="preserve">Shiga-like toxin</t>
  </si>
  <si>
    <t xml:space="preserve">IV</t>
  </si>
  <si>
    <t xml:space="preserve">healthy adults</t>
  </si>
  <si>
    <t xml:space="preserve">no</t>
  </si>
  <si>
    <t xml:space="preserve">STEC-infected children</t>
  </si>
  <si>
    <t xml:space="preserve">Weisman2009_adults</t>
  </si>
  <si>
    <t xml:space="preserve">Pagibaximab</t>
  </si>
  <si>
    <t xml:space="preserve">LTA (staphylococci)</t>
  </si>
  <si>
    <t xml:space="preserve">also endogenous ant-LTA antibody included in measurements!</t>
  </si>
  <si>
    <t xml:space="preserve">Weisman2009</t>
  </si>
  <si>
    <t xml:space="preserve">Very-Low-Birth-Weight Neonates</t>
  </si>
  <si>
    <t xml:space="preserve">also endogenous ant-LTA antibody included in measurements! ; overall a half-live of 20.5 +/- 6.8 days is reported (not per different dose groups)</t>
  </si>
  <si>
    <t xml:space="preserve">Weisman2011</t>
  </si>
  <si>
    <t xml:space="preserve">Herbst2014</t>
  </si>
  <si>
    <t xml:space="preserve">Atezolizumab</t>
  </si>
  <si>
    <t xml:space="preserve">PD-L1</t>
  </si>
  <si>
    <t xml:space="preserve">no for high dose</t>
  </si>
  <si>
    <t xml:space="preserve">adults data </t>
  </si>
  <si>
    <t xml:space="preserve">Georger2020</t>
  </si>
  <si>
    <t xml:space="preserve">tumor patients</t>
  </si>
  <si>
    <t xml:space="preserve">profiles for age groups</t>
  </si>
  <si>
    <t xml:space="preserve">Huang2022</t>
  </si>
  <si>
    <t xml:space="preserve">individual profiles; Age 16-2 yrs; Single profile/individual for each age; PBPK model (used in Fig.3 in Kumar2026); Stroh2017 (popPK) is cited</t>
  </si>
  <si>
    <t xml:space="preserve">Shemesh2019</t>
  </si>
  <si>
    <t xml:space="preserve">popPK study</t>
  </si>
  <si>
    <t xml:space="preserve">Struemper2013</t>
  </si>
  <si>
    <t xml:space="preserve">Belimumab</t>
  </si>
  <si>
    <t xml:space="preserve">BlyS</t>
  </si>
  <si>
    <t xml:space="preserve">adults with SLE</t>
  </si>
  <si>
    <t xml:space="preserve">profiles for 1 mg/kg, 4, mg/kg, 10 mg/kg and 20mg/kg reported</t>
  </si>
  <si>
    <t xml:space="preserve">Dimelow2021</t>
  </si>
  <si>
    <t xml:space="preserve">popPK study, adult age range from Struemper2013</t>
  </si>
  <si>
    <t xml:space="preserve">children with SLE</t>
  </si>
  <si>
    <t xml:space="preserve">popPK study, </t>
  </si>
  <si>
    <t xml:space="preserve">Zhou2021</t>
  </si>
  <si>
    <t xml:space="preserve">healthy and SLE</t>
  </si>
  <si>
    <t xml:space="preserve">systemic lupus erythematosus patients</t>
  </si>
  <si>
    <t xml:space="preserve">popPK study,</t>
  </si>
  <si>
    <t xml:space="preserve">Brunner2020</t>
  </si>
  <si>
    <t xml:space="preserve">Link to supplemetal figure did not work. Data should be included in Zhou2021;  Info in text: Post-infusion (maximum plasma concentration (Cmax)) geometric mean (95% CI) belimumab serum concentration at Week 24 was [... overall PK population], 289 (234 to 356) µg/mL for patients ages 5 to 11 years and 334 (290 to 386) µg/mL for patients ages 12 to 17 years. At Week 52, pre-infusion (minimum plasma concentration (Cmin)) belimumab concentration was [...for overall PK population], 45.0 (27.5 to 73.4) µg/mL for patients ages 5 to 11 years and 59.7 (46.4 to 76.8) µg/mL for patients ages 12 to 17 years.</t>
  </si>
  <si>
    <t xml:space="preserve">Heery2017</t>
  </si>
  <si>
    <t xml:space="preserve">Avelumab</t>
  </si>
  <si>
    <t xml:space="preserve">Vugmeyster2022</t>
  </si>
  <si>
    <t xml:space="preserve">individual data</t>
  </si>
  <si>
    <t xml:space="preserve">GladeBender2008</t>
  </si>
  <si>
    <t xml:space="preserve">Bevacizumab</t>
  </si>
  <si>
    <t xml:space="preserve">VEGF</t>
  </si>
  <si>
    <t xml:space="preserve">Wang2019</t>
  </si>
  <si>
    <t xml:space="preserve">Gordon2001</t>
  </si>
  <si>
    <t xml:space="preserve">Boeckh2001</t>
  </si>
  <si>
    <t xml:space="preserve">Palivizumab</t>
  </si>
  <si>
    <t xml:space="preserve">RSV fusion protein</t>
  </si>
  <si>
    <t xml:space="preserve">HSCT patients , study 1, no RSV infection</t>
  </si>
  <si>
    <t xml:space="preserve">T1/2 was different between the 2 studies. The shorter half-life seen in study 2 may due to a) high percentage of allogeneic HSCT recipients (GVHD, gut leakage) b) binding to RSV, since all patients in study 2 were infected with RSV.</t>
  </si>
  <si>
    <t xml:space="preserve">Subramanian1998</t>
  </si>
  <si>
    <t xml:space="preserve">premature infants and infants with bronchopulmonary dysplasia</t>
  </si>
  <si>
    <t xml:space="preserve">half-live range: 19.3 – 26.8 days</t>
  </si>
  <si>
    <t xml:space="preserve">SaezLlorens2004</t>
  </si>
  <si>
    <t xml:space="preserve">children with RSV infection</t>
  </si>
  <si>
    <t xml:space="preserve">Chen2021</t>
  </si>
  <si>
    <t xml:space="preserve">Rituximab</t>
  </si>
  <si>
    <t xml:space="preserve">CD20</t>
  </si>
  <si>
    <t xml:space="preserve">Maximum 500 mg</t>
  </si>
  <si>
    <t xml:space="preserve">nephrotic syndrome (FRNS or SDNS)</t>
  </si>
  <si>
    <t xml:space="preserve">patients with membranous nephropathy exhibited an increased rituximab clearance, one possible explanation is that rituximab is filtered by the kidneys and eliminated in the urine due to kidney impairment</t>
  </si>
  <si>
    <t xml:space="preserve">Yonezawa2019</t>
  </si>
  <si>
    <t xml:space="preserve">lymphoma, normal CL</t>
  </si>
  <si>
    <t xml:space="preserve">lymphoma, high CL</t>
  </si>
  <si>
    <t xml:space="preserve">Haridas2020</t>
  </si>
  <si>
    <t xml:space="preserve">rheumatoid arthritis</t>
  </si>
  <si>
    <t xml:space="preserve">AUC and T1/2 for RTX-EU</t>
  </si>
  <si>
    <t xml:space="preserve">Jiang2020</t>
  </si>
  <si>
    <t xml:space="preserve">lymphoma</t>
  </si>
  <si>
    <t xml:space="preserve">Kamei2009</t>
  </si>
  <si>
    <t xml:space="preserve">nephrotic syndrome (SDNS)</t>
  </si>
  <si>
    <t xml:space="preserve">Rosh2021</t>
  </si>
  <si>
    <t xml:space="preserve">Ustekinumab</t>
  </si>
  <si>
    <t xml:space="preserve">IL12/IL13</t>
  </si>
  <si>
    <t xml:space="preserve">Philipp2020</t>
  </si>
  <si>
    <t xml:space="preserve">SC</t>
  </si>
  <si>
    <t xml:space="preserve">profile reported (SC)</t>
  </si>
  <si>
    <t xml:space="preserve">BLA 761171, 11-009</t>
  </si>
  <si>
    <t xml:space="preserve">Naxitamab</t>
  </si>
  <si>
    <t xml:space="preserve">GD2</t>
  </si>
  <si>
    <r>
      <rPr>
        <sz val="11"/>
        <color theme="1"/>
        <rFont val="Aptos Narrow"/>
        <family val="2"/>
        <charset val="1"/>
      </rPr>
      <t xml:space="preserve">Observations adjusted using prediction correction from popPK; </t>
    </r>
    <r>
      <rPr>
        <sz val="11"/>
        <color rgb="FFC9211E"/>
        <rFont val="Aptos Narrow"/>
        <family val="2"/>
        <charset val="1"/>
      </rPr>
      <t xml:space="preserve">Age differences are probably lost!</t>
    </r>
    <r>
      <rPr>
        <sz val="11"/>
        <color theme="1"/>
        <rFont val="Aptos Narrow"/>
        <family val="2"/>
        <charset val="1"/>
      </rPr>
      <t xml:space="preserve"> Trial NCT01419834; Age-info: Table 19-4 in BLA761171</t>
    </r>
  </si>
  <si>
    <t xml:space="preserve">BLA 761171, 12-116</t>
  </si>
  <si>
    <r>
      <rPr>
        <sz val="11"/>
        <color theme="1"/>
        <rFont val="Aptos Narrow"/>
        <family val="2"/>
        <charset val="1"/>
      </rPr>
      <t xml:space="preserve">Observations adjusted using prediction correction from popPK;</t>
    </r>
    <r>
      <rPr>
        <sz val="11"/>
        <color rgb="FFC9211E"/>
        <rFont val="Aptos Narrow"/>
        <family val="2"/>
        <charset val="1"/>
      </rPr>
      <t xml:space="preserve"> Age differences are probably lost! </t>
    </r>
    <r>
      <rPr>
        <sz val="11"/>
        <color theme="1"/>
        <rFont val="Aptos Narrow"/>
        <family val="2"/>
        <charset val="1"/>
      </rPr>
      <t xml:space="preserve">Trial NCT01662804????; Age-info: Table 19-4 in BLA761171  </t>
    </r>
  </si>
  <si>
    <t xml:space="preserve">BLA 761171, 12-230</t>
  </si>
  <si>
    <r>
      <rPr>
        <sz val="11"/>
        <color theme="1"/>
        <rFont val="Aptos Narrow"/>
        <family val="2"/>
        <charset val="1"/>
      </rPr>
      <t xml:space="preserve">Observations adjusted using prediction correction from popPK; </t>
    </r>
    <r>
      <rPr>
        <sz val="11"/>
        <color rgb="FFC9211E"/>
        <rFont val="Aptos Narrow"/>
        <family val="2"/>
        <charset val="1"/>
      </rPr>
      <t xml:space="preserve">Age differences are probably lost!</t>
    </r>
    <r>
      <rPr>
        <sz val="11"/>
        <color theme="1"/>
        <rFont val="Aptos Narrow"/>
        <family val="2"/>
        <charset val="1"/>
      </rPr>
      <t xml:space="preserve"> Trial NCT01757626; Age-info: Table 19-4 in BLA761171</t>
    </r>
  </si>
  <si>
    <t xml:space="preserve">BLA 761171, 201</t>
  </si>
  <si>
    <r>
      <rPr>
        <sz val="11"/>
        <color theme="1"/>
        <rFont val="Aptos Narrow"/>
        <family val="2"/>
        <charset val="1"/>
      </rPr>
      <t xml:space="preserve">Observations adjusted using prediction correction from popPK; </t>
    </r>
    <r>
      <rPr>
        <sz val="11"/>
        <color rgb="FFC9211E"/>
        <rFont val="Aptos Narrow"/>
        <family val="2"/>
        <charset val="1"/>
      </rPr>
      <t xml:space="preserve">Age differences are probably lost!</t>
    </r>
    <r>
      <rPr>
        <sz val="11"/>
        <color theme="1"/>
        <rFont val="Aptos Narrow"/>
        <family val="2"/>
        <charset val="1"/>
      </rPr>
      <t xml:space="preserve"> Trial NCT03363373; Age-info: Table 19-4 in BLA761171</t>
    </r>
  </si>
  <si>
    <t xml:space="preserve">BLA 761171, 201, Cohort 1 FAS</t>
  </si>
  <si>
    <t xml:space="preserve">further Data: IM or SC (Non-IV) and or non linear</t>
  </si>
  <si>
    <t xml:space="preserve">Everitt1996</t>
  </si>
  <si>
    <t xml:space="preserve">SB 209763</t>
  </si>
  <si>
    <t xml:space="preserve">Meissner1999</t>
  </si>
  <si>
    <t xml:space="preserve">IM</t>
  </si>
  <si>
    <t xml:space="preserve">children, premature andOr BPD</t>
  </si>
  <si>
    <t xml:space="preserve">pediatric data: IM; adult data IV</t>
  </si>
  <si>
    <t xml:space="preserve">Smith2011</t>
  </si>
  <si>
    <t xml:space="preserve">Mepolizumab</t>
  </si>
  <si>
    <t xml:space="preserve">IL-5</t>
  </si>
  <si>
    <t xml:space="preserve">age range according to Ortega2013, weight range in Ortega2013: 51.7-96.1 kg</t>
  </si>
  <si>
    <t xml:space="preserve">SC arm</t>
  </si>
  <si>
    <t xml:space="preserve">SC abdomen</t>
  </si>
  <si>
    <t xml:space="preserve">Gupta2019</t>
  </si>
  <si>
    <t xml:space="preserve">asthma patients, BW &gt; 40 kg</t>
  </si>
  <si>
    <t xml:space="preserve">AUC &amp; t1/2 values are estimates from popPK model</t>
  </si>
  <si>
    <t xml:space="preserve">asthma patients, BW &lt; 40 kg</t>
  </si>
  <si>
    <t xml:space="preserve">Domachowske2018</t>
  </si>
  <si>
    <t xml:space="preserve">Nirsevimab</t>
  </si>
  <si>
    <t xml:space="preserve">preterm infants with a gestational age of 32–35 weeks</t>
  </si>
  <si>
    <t xml:space="preserve">Griffin2020</t>
  </si>
  <si>
    <t xml:space="preserve">healthy infants who had been born preterm (29 weeks 0 days to 34 weeks 6 days of gestation)</t>
  </si>
  <si>
    <t xml:space="preserve">Hammit2022</t>
  </si>
  <si>
    <t xml:space="preserve">Gestational age of at least 35 weeks</t>
  </si>
  <si>
    <t xml:space="preserve">Griffin2017</t>
  </si>
  <si>
    <t xml:space="preserve">Adults</t>
  </si>
  <si>
    <t xml:space="preserve">IV &amp; IM</t>
  </si>
  <si>
    <t xml:space="preserve">Chow2020</t>
  </si>
  <si>
    <t xml:space="preserve">Eculizumab</t>
  </si>
  <si>
    <t xml:space="preserve">C5</t>
  </si>
  <si>
    <t xml:space="preserve">yes</t>
  </si>
  <si>
    <t xml:space="preserve">numbers for Eculizumab EU</t>
  </si>
  <si>
    <t xml:space="preserve">Gatault2015</t>
  </si>
  <si>
    <t xml:space="preserve">adults, aHUS patients</t>
  </si>
  <si>
    <t xml:space="preserve">elimination half-life varied greatly</t>
  </si>
  <si>
    <t xml:space="preserve">Jodele2014</t>
  </si>
  <si>
    <t xml:space="preserve">hematopoietic stem cell transplantationeassociated thrombotic microangiopathy</t>
  </si>
  <si>
    <t xml:space="preserve">individual profiles</t>
  </si>
  <si>
    <t xml:space="preserve"> PeffaultDeLatour2020</t>
  </si>
  <si>
    <t xml:space="preserve">adults, paroxysmal nocturnal haemoglobinuria</t>
  </si>
  <si>
    <t xml:space="preserve">Nagai2010</t>
  </si>
  <si>
    <t xml:space="preserve">Basiliximab</t>
  </si>
  <si>
    <t xml:space="preserve">IL-2R</t>
  </si>
  <si>
    <t xml:space="preserve">Haba2001</t>
  </si>
  <si>
    <t xml:space="preserve">Sun2016</t>
  </si>
  <si>
    <t xml:space="preserve">Canakinumab</t>
  </si>
  <si>
    <t xml:space="preserve">IL-1b</t>
  </si>
  <si>
    <t xml:space="preserve">Chakraborty2012</t>
  </si>
  <si>
    <t xml:space="preserve">Paller2020</t>
  </si>
  <si>
    <t xml:space="preserve">Dupilumab</t>
  </si>
  <si>
    <t xml:space="preserve">IL-4Ra</t>
  </si>
  <si>
    <t xml:space="preserve">Li2020</t>
  </si>
  <si>
    <t xml:space="preserve">Kiialainen2024</t>
  </si>
  <si>
    <t xml:space="preserve">Emicizumab</t>
  </si>
  <si>
    <t xml:space="preserve">IXa &amp; X (bisp.)</t>
  </si>
  <si>
    <t xml:space="preserve">only trough concentrations reported</t>
  </si>
  <si>
    <t xml:space="preserve">Yoneyama2022</t>
  </si>
  <si>
    <t xml:space="preserve">Wiegman2024</t>
  </si>
  <si>
    <t xml:space="preserve">Evinacumab</t>
  </si>
  <si>
    <t xml:space="preserve">ANGPTL3</t>
  </si>
  <si>
    <t xml:space="preserve">Khaksar2021</t>
  </si>
  <si>
    <t xml:space="preserve">Infliximab</t>
  </si>
  <si>
    <t xml:space="preserve">TNFa</t>
  </si>
  <si>
    <t xml:space="preserve">values for Infliximab_EU</t>
  </si>
  <si>
    <t xml:space="preserve">Baldassano2003</t>
  </si>
  <si>
    <t xml:space="preserve">Crohn’s disease</t>
  </si>
  <si>
    <t xml:space="preserve">Chang2022</t>
  </si>
  <si>
    <t xml:space="preserve">Burns2008</t>
  </si>
  <si>
    <t xml:space="preserve">IVIG-resistant Kawasaki disease, child</t>
  </si>
  <si>
    <t xml:space="preserve">Each subject received an initial IVIG infusion (2 g/kg) before study enrollment.</t>
  </si>
  <si>
    <t xml:space="preserve">IVIG-resistant Kawasaki disease, infant</t>
  </si>
  <si>
    <t xml:space="preserve">Ruperto2007</t>
  </si>
  <si>
    <t xml:space="preserve">juvenile rheumatoid arthritis</t>
  </si>
  <si>
    <t xml:space="preserve">Zhang2017</t>
  </si>
  <si>
    <t xml:space="preserve">Tocilizumab</t>
  </si>
  <si>
    <t xml:space="preserve">IL-6R</t>
  </si>
  <si>
    <t xml:space="preserve">Zhang2021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</si>
</sst>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ptos Narrow"/>
      <family val="2"/>
    </font>
    <font>
      <sz val="11"/>
      <color rgb="FFC9211E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BF00"/>
        <bgColor rgb="FFFF9900"/>
      </patternFill>
    </fill>
    <fill>
      <patternFill patternType="solid">
        <fgColor rgb="FFFF4000"/>
        <bgColor rgb="FFC9211E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BF00"/>
      <rgbColor rgb="FFFF9900"/>
      <rgbColor rgb="FFFF40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5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U119" activePane="bottomRight" state="frozen"/>
      <selection pane="topLeft" activeCell="A1" activeCellId="0" sqref="A1"/>
      <selection pane="topRight" activeCell="U1" activeCellId="0" sqref="U1"/>
      <selection pane="bottomLeft" activeCell="A119" activeCellId="0" sqref="A119"/>
      <selection pane="bottomRight" activeCell="Z145" activeCellId="0" sqref="Z145"/>
    </sheetView>
  </sheetViews>
  <sheetFormatPr defaultColWidth="11.42578125" defaultRowHeight="15" customHeight="true" zeroHeight="false" outlineLevelRow="0" outlineLevelCol="0"/>
  <cols>
    <col collapsed="false" customWidth="true" hidden="false" outlineLevel="0" max="1" min="1" style="1" width="24.92"/>
    <col collapsed="false" customWidth="true" hidden="false" outlineLevel="0" max="2" min="2" style="1" width="15.28"/>
    <col collapsed="false" customWidth="true" hidden="false" outlineLevel="0" max="3" min="3" style="1" width="17.44"/>
    <col collapsed="false" customWidth="true" hidden="false" outlineLevel="0" max="4" min="4" style="1" width="18.91"/>
    <col collapsed="false" customWidth="true" hidden="false" outlineLevel="0" max="5" min="5" style="1" width="21.33"/>
    <col collapsed="false" customWidth="true" hidden="false" outlineLevel="0" max="6" min="6" style="1" width="30.56"/>
    <col collapsed="false" customWidth="true" hidden="false" outlineLevel="0" max="7" min="7" style="1" width="12"/>
    <col collapsed="false" customWidth="true" hidden="false" outlineLevel="0" max="10" min="8" style="1" width="26.72"/>
    <col collapsed="false" customWidth="true" hidden="false" outlineLevel="0" max="11" min="11" style="1" width="29.25"/>
    <col collapsed="false" customWidth="true" hidden="false" outlineLevel="0" max="12" min="12" style="1" width="13.49"/>
    <col collapsed="false" customWidth="true" hidden="false" outlineLevel="0" max="13" min="13" style="1" width="16.3"/>
    <col collapsed="false" customWidth="true" hidden="false" outlineLevel="0" max="14" min="14" style="1" width="17.06"/>
    <col collapsed="false" customWidth="true" hidden="false" outlineLevel="0" max="16" min="15" style="1" width="15.17"/>
    <col collapsed="false" customWidth="true" hidden="false" outlineLevel="0" max="17" min="17" style="1" width="12.02"/>
    <col collapsed="false" customWidth="true" hidden="false" outlineLevel="0" max="18" min="18" style="1" width="15.81"/>
    <col collapsed="false" customWidth="true" hidden="false" outlineLevel="0" max="19" min="19" style="1" width="12.02"/>
    <col collapsed="false" customWidth="true" hidden="false" outlineLevel="0" max="20" min="20" style="1" width="67.18"/>
    <col collapsed="false" customWidth="true" hidden="false" outlineLevel="0" max="21" min="21" style="1" width="14.47"/>
    <col collapsed="false" customWidth="true" hidden="false" outlineLevel="0" max="22" min="22" style="1" width="18.37"/>
    <col collapsed="false" customWidth="true" hidden="false" outlineLevel="0" max="25" min="23" style="1" width="38"/>
    <col collapsed="false" customWidth="true" hidden="false" outlineLevel="0" max="27" min="26" style="1" width="85.13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1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1" t="s">
        <v>19</v>
      </c>
      <c r="U1" s="3" t="s">
        <v>20</v>
      </c>
      <c r="V1" s="3" t="s">
        <v>21</v>
      </c>
      <c r="W1" s="1" t="s">
        <v>22</v>
      </c>
      <c r="X1" s="2" t="s">
        <v>23</v>
      </c>
      <c r="Y1" s="2" t="s">
        <v>24</v>
      </c>
      <c r="Z1" s="2" t="s">
        <v>25</v>
      </c>
      <c r="AA1" s="1" t="s">
        <v>26</v>
      </c>
    </row>
    <row r="2" customFormat="false" ht="15" hidden="false" customHeight="false" outlineLevel="0" collapsed="false">
      <c r="A2" s="1" t="s">
        <v>27</v>
      </c>
      <c r="B2" s="1" t="s">
        <v>28</v>
      </c>
      <c r="C2" s="1" t="s">
        <v>29</v>
      </c>
      <c r="F2" s="1" t="n">
        <v>40</v>
      </c>
      <c r="H2" s="1" t="n">
        <v>19</v>
      </c>
      <c r="I2" s="1" t="n">
        <v>60</v>
      </c>
      <c r="J2" s="1" t="n">
        <v>19</v>
      </c>
      <c r="K2" s="1" t="n">
        <v>65</v>
      </c>
      <c r="L2" s="1" t="n">
        <v>6</v>
      </c>
      <c r="M2" s="1" t="n">
        <v>1</v>
      </c>
      <c r="S2" s="1" t="s">
        <v>30</v>
      </c>
      <c r="T2" s="2" t="s">
        <v>31</v>
      </c>
      <c r="U2" s="3" t="n">
        <v>26.3</v>
      </c>
      <c r="V2" s="3" t="n">
        <v>5.1</v>
      </c>
      <c r="W2" s="2" t="n">
        <v>480</v>
      </c>
      <c r="X2" s="2" t="n">
        <v>128</v>
      </c>
      <c r="Y2" s="2"/>
      <c r="Z2" s="2" t="s">
        <v>32</v>
      </c>
    </row>
    <row r="3" customFormat="false" ht="15" hidden="false" customHeight="false" outlineLevel="0" collapsed="false">
      <c r="A3" s="1" t="s">
        <v>27</v>
      </c>
      <c r="B3" s="1" t="s">
        <v>28</v>
      </c>
      <c r="C3" s="1" t="s">
        <v>29</v>
      </c>
      <c r="F3" s="1" t="n">
        <v>40</v>
      </c>
      <c r="H3" s="1" t="n">
        <v>19</v>
      </c>
      <c r="I3" s="1" t="n">
        <v>60</v>
      </c>
      <c r="J3" s="1" t="n">
        <v>19</v>
      </c>
      <c r="K3" s="1" t="n">
        <v>65</v>
      </c>
      <c r="L3" s="1" t="n">
        <v>6</v>
      </c>
      <c r="M3" s="1" t="n">
        <v>3</v>
      </c>
      <c r="S3" s="1" t="s">
        <v>30</v>
      </c>
      <c r="T3" s="1" t="s">
        <v>31</v>
      </c>
      <c r="U3" s="3" t="n">
        <v>24.5</v>
      </c>
      <c r="V3" s="3" t="n">
        <v>5</v>
      </c>
      <c r="W3" s="1" t="n">
        <v>1438</v>
      </c>
      <c r="X3" s="1" t="n">
        <v>287</v>
      </c>
      <c r="Z3" s="2" t="s">
        <v>32</v>
      </c>
    </row>
    <row r="4" customFormat="false" ht="15" hidden="false" customHeight="false" outlineLevel="0" collapsed="false">
      <c r="A4" s="1" t="s">
        <v>27</v>
      </c>
      <c r="B4" s="1" t="s">
        <v>28</v>
      </c>
      <c r="C4" s="1" t="s">
        <v>29</v>
      </c>
      <c r="F4" s="1" t="n">
        <v>2.9</v>
      </c>
      <c r="G4" s="1" t="n">
        <v>2.4</v>
      </c>
      <c r="J4" s="1" t="n">
        <v>1</v>
      </c>
      <c r="K4" s="1" t="n">
        <v>15</v>
      </c>
      <c r="L4" s="1" t="n">
        <v>37</v>
      </c>
      <c r="M4" s="1" t="n">
        <v>1</v>
      </c>
      <c r="S4" s="1" t="s">
        <v>30</v>
      </c>
      <c r="T4" s="1" t="s">
        <v>33</v>
      </c>
      <c r="U4" s="3" t="n">
        <v>24.4</v>
      </c>
      <c r="V4" s="3" t="n">
        <v>6.4</v>
      </c>
      <c r="W4" s="1" t="n">
        <v>342</v>
      </c>
      <c r="X4" s="1" t="n">
        <v>105</v>
      </c>
      <c r="Z4" s="2" t="s">
        <v>32</v>
      </c>
    </row>
    <row r="5" customFormat="false" ht="15" hidden="false" customHeight="false" outlineLevel="0" collapsed="false">
      <c r="A5" s="1" t="s">
        <v>27</v>
      </c>
      <c r="B5" s="1" t="s">
        <v>28</v>
      </c>
      <c r="C5" s="1" t="s">
        <v>29</v>
      </c>
      <c r="F5" s="1" t="n">
        <v>2.8</v>
      </c>
      <c r="G5" s="1" t="n">
        <v>2.4</v>
      </c>
      <c r="J5" s="1" t="n">
        <v>1</v>
      </c>
      <c r="K5" s="1" t="n">
        <v>15</v>
      </c>
      <c r="L5" s="1" t="n">
        <v>35</v>
      </c>
      <c r="M5" s="1" t="n">
        <v>3</v>
      </c>
      <c r="S5" s="1" t="s">
        <v>30</v>
      </c>
      <c r="T5" s="1" t="s">
        <v>33</v>
      </c>
      <c r="U5" s="3" t="n">
        <v>22.4</v>
      </c>
      <c r="V5" s="3" t="n">
        <v>6.2</v>
      </c>
      <c r="W5" s="1" t="n">
        <v>869</v>
      </c>
      <c r="X5" s="1" t="n">
        <v>286</v>
      </c>
      <c r="Z5" s="2" t="s">
        <v>32</v>
      </c>
    </row>
    <row r="6" customFormat="false" ht="15" hidden="false" customHeight="true" outlineLevel="0" collapsed="false">
      <c r="A6" s="1" t="s">
        <v>34</v>
      </c>
      <c r="B6" s="1" t="s">
        <v>35</v>
      </c>
      <c r="C6" s="1" t="s">
        <v>36</v>
      </c>
      <c r="F6" s="1" t="n">
        <v>35</v>
      </c>
      <c r="G6" s="1" t="n">
        <v>10.1</v>
      </c>
      <c r="H6" s="1" t="n">
        <v>28</v>
      </c>
      <c r="I6" s="1" t="n">
        <v>50</v>
      </c>
      <c r="L6" s="1" t="n">
        <v>4</v>
      </c>
      <c r="M6" s="1" t="n">
        <v>3</v>
      </c>
      <c r="S6" s="1" t="s">
        <v>30</v>
      </c>
      <c r="T6" s="2" t="s">
        <v>31</v>
      </c>
      <c r="U6" s="1" t="n">
        <f aca="false">813.8/24</f>
        <v>33.9083333333333</v>
      </c>
      <c r="V6" s="1" t="n">
        <f aca="false">161.32/24</f>
        <v>6.72166666666667</v>
      </c>
      <c r="W6" s="1" t="n">
        <f aca="false">72392.1/24</f>
        <v>3016.3375</v>
      </c>
      <c r="X6" s="1" t="n">
        <f aca="false">38163.32/24</f>
        <v>1590.13833333333</v>
      </c>
      <c r="Z6" s="2" t="s">
        <v>32</v>
      </c>
      <c r="AA6" s="1" t="s">
        <v>37</v>
      </c>
    </row>
    <row r="7" customFormat="false" ht="15" hidden="false" customHeight="true" outlineLevel="0" collapsed="false">
      <c r="A7" s="1" t="s">
        <v>34</v>
      </c>
      <c r="B7" s="1" t="s">
        <v>35</v>
      </c>
      <c r="C7" s="1" t="s">
        <v>36</v>
      </c>
      <c r="F7" s="1" t="n">
        <v>34.3</v>
      </c>
      <c r="G7" s="1" t="n">
        <v>10.1</v>
      </c>
      <c r="H7" s="1" t="n">
        <v>24</v>
      </c>
      <c r="I7" s="1" t="n">
        <v>48</v>
      </c>
      <c r="L7" s="1" t="n">
        <v>4</v>
      </c>
      <c r="M7" s="1" t="n">
        <v>10</v>
      </c>
      <c r="S7" s="1" t="s">
        <v>30</v>
      </c>
      <c r="T7" s="2" t="s">
        <v>31</v>
      </c>
      <c r="U7" s="1" t="n">
        <f aca="false">784.59/24</f>
        <v>32.69125</v>
      </c>
      <c r="V7" s="1" t="n">
        <f aca="false">291.42/24</f>
        <v>12.1425</v>
      </c>
      <c r="W7" s="1" t="n">
        <f aca="false">213380.12/24</f>
        <v>8890.83833333333</v>
      </c>
      <c r="X7" s="1" t="n">
        <f aca="false">89889.14/24</f>
        <v>3745.38083333333</v>
      </c>
      <c r="Z7" s="2" t="s">
        <v>32</v>
      </c>
      <c r="AA7" s="2" t="s">
        <v>37</v>
      </c>
    </row>
    <row r="8" customFormat="false" ht="15" hidden="false" customHeight="true" outlineLevel="0" collapsed="false">
      <c r="A8" s="2" t="s">
        <v>38</v>
      </c>
      <c r="B8" s="1" t="s">
        <v>35</v>
      </c>
      <c r="C8" s="1" t="s">
        <v>36</v>
      </c>
      <c r="D8" s="1" t="n">
        <v>27.4</v>
      </c>
      <c r="E8" s="1" t="n">
        <v>1.7</v>
      </c>
      <c r="J8" s="1" t="n">
        <f aca="false">3/365.25</f>
        <v>0.0082135523613963</v>
      </c>
      <c r="K8" s="2" t="n">
        <f aca="false">7/365.25</f>
        <v>0.0191649555099247</v>
      </c>
      <c r="L8" s="1" t="n">
        <v>8</v>
      </c>
      <c r="M8" s="1" t="n">
        <v>10</v>
      </c>
      <c r="S8" s="1" t="s">
        <v>30</v>
      </c>
      <c r="T8" s="1" t="s">
        <v>39</v>
      </c>
      <c r="Z8" s="2" t="s">
        <v>32</v>
      </c>
      <c r="AA8" s="1" t="s">
        <v>40</v>
      </c>
    </row>
    <row r="9" customFormat="false" ht="15" hidden="false" customHeight="true" outlineLevel="0" collapsed="false">
      <c r="A9" s="1" t="s">
        <v>38</v>
      </c>
      <c r="B9" s="1" t="s">
        <v>35</v>
      </c>
      <c r="C9" s="1" t="s">
        <v>36</v>
      </c>
      <c r="D9" s="1" t="n">
        <v>27.5</v>
      </c>
      <c r="E9" s="1" t="n">
        <v>1.4</v>
      </c>
      <c r="J9" s="1" t="n">
        <f aca="false">3/365.25</f>
        <v>0.0082135523613963</v>
      </c>
      <c r="K9" s="2" t="n">
        <f aca="false">7/365.25</f>
        <v>0.0191649555099247</v>
      </c>
      <c r="L9" s="1" t="n">
        <v>8</v>
      </c>
      <c r="M9" s="1" t="n">
        <v>30</v>
      </c>
      <c r="S9" s="1" t="s">
        <v>30</v>
      </c>
      <c r="T9" s="1" t="s">
        <v>39</v>
      </c>
      <c r="Z9" s="2" t="s">
        <v>32</v>
      </c>
      <c r="AA9" s="2" t="s">
        <v>37</v>
      </c>
    </row>
    <row r="10" customFormat="false" ht="15" hidden="false" customHeight="true" outlineLevel="0" collapsed="false">
      <c r="A10" s="1" t="s">
        <v>38</v>
      </c>
      <c r="B10" s="1" t="s">
        <v>35</v>
      </c>
      <c r="C10" s="1" t="s">
        <v>36</v>
      </c>
      <c r="D10" s="1" t="n">
        <v>27</v>
      </c>
      <c r="E10" s="1" t="n">
        <v>1.5</v>
      </c>
      <c r="J10" s="1" t="n">
        <f aca="false">3/365.25</f>
        <v>0.0082135523613963</v>
      </c>
      <c r="K10" s="2" t="n">
        <f aca="false">7/365.25</f>
        <v>0.0191649555099247</v>
      </c>
      <c r="L10" s="1" t="n">
        <v>8</v>
      </c>
      <c r="M10" s="1" t="n">
        <v>60</v>
      </c>
      <c r="S10" s="1" t="s">
        <v>30</v>
      </c>
      <c r="T10" s="1" t="s">
        <v>39</v>
      </c>
      <c r="Z10" s="2" t="s">
        <v>32</v>
      </c>
      <c r="AA10" s="1" t="s">
        <v>37</v>
      </c>
    </row>
    <row r="11" customFormat="false" ht="15" hidden="false" customHeight="true" outlineLevel="0" collapsed="false">
      <c r="A11" s="1" t="s">
        <v>38</v>
      </c>
      <c r="B11" s="1" t="s">
        <v>35</v>
      </c>
      <c r="C11" s="1" t="s">
        <v>36</v>
      </c>
      <c r="D11" s="1" t="n">
        <v>28.3</v>
      </c>
      <c r="E11" s="1" t="n">
        <v>2.2</v>
      </c>
      <c r="J11" s="1" t="n">
        <f aca="false">3/365.25</f>
        <v>0.0082135523613963</v>
      </c>
      <c r="K11" s="2" t="n">
        <f aca="false">7/365.25</f>
        <v>0.0191649555099247</v>
      </c>
      <c r="L11" s="1" t="n">
        <v>9</v>
      </c>
      <c r="M11" s="1" t="n">
        <v>90</v>
      </c>
      <c r="S11" s="1" t="s">
        <v>30</v>
      </c>
      <c r="T11" s="1" t="s">
        <v>39</v>
      </c>
      <c r="Z11" s="2" t="s">
        <v>32</v>
      </c>
      <c r="AA11" s="2" t="s">
        <v>37</v>
      </c>
    </row>
    <row r="12" customFormat="false" ht="15" hidden="false" customHeight="true" outlineLevel="0" collapsed="false">
      <c r="A12" s="2" t="s">
        <v>41</v>
      </c>
      <c r="B12" s="1" t="s">
        <v>35</v>
      </c>
      <c r="C12" s="1" t="s">
        <v>36</v>
      </c>
      <c r="D12" s="1" t="n">
        <v>27.4</v>
      </c>
      <c r="E12" s="1" t="n">
        <v>1.79</v>
      </c>
      <c r="F12" s="1" t="n">
        <f aca="false">3.7/365.25</f>
        <v>0.0101300479123888</v>
      </c>
      <c r="K12" s="2"/>
      <c r="M12" s="1" t="n">
        <v>60</v>
      </c>
      <c r="S12" s="1" t="s">
        <v>30</v>
      </c>
      <c r="T12" s="1" t="s">
        <v>39</v>
      </c>
      <c r="U12" s="1" t="n">
        <v>17.6</v>
      </c>
      <c r="Z12" s="2" t="s">
        <v>32</v>
      </c>
      <c r="AA12" s="2"/>
    </row>
    <row r="13" customFormat="false" ht="15" hidden="false" customHeight="true" outlineLevel="0" collapsed="false">
      <c r="A13" s="2" t="s">
        <v>41</v>
      </c>
      <c r="B13" s="1" t="s">
        <v>35</v>
      </c>
      <c r="C13" s="1" t="s">
        <v>36</v>
      </c>
      <c r="D13" s="1" t="n">
        <v>27.5</v>
      </c>
      <c r="E13" s="1" t="n">
        <v>1.6</v>
      </c>
      <c r="F13" s="1" t="n">
        <f aca="false">3.7/365.25</f>
        <v>0.0101300479123888</v>
      </c>
      <c r="K13" s="2"/>
      <c r="M13" s="1" t="n">
        <v>90</v>
      </c>
      <c r="S13" s="1" t="s">
        <v>30</v>
      </c>
      <c r="T13" s="1" t="s">
        <v>39</v>
      </c>
      <c r="U13" s="1" t="n">
        <v>14.5</v>
      </c>
      <c r="Z13" s="2" t="s">
        <v>32</v>
      </c>
      <c r="AA13" s="2"/>
    </row>
    <row r="14" customFormat="false" ht="15" hidden="false" customHeight="true" outlineLevel="0" collapsed="false">
      <c r="A14" s="2" t="s">
        <v>42</v>
      </c>
      <c r="B14" s="1" t="s">
        <v>43</v>
      </c>
      <c r="C14" s="1" t="s">
        <v>44</v>
      </c>
      <c r="K14" s="2"/>
      <c r="S14" s="1" t="s">
        <v>30</v>
      </c>
      <c r="Z14" s="1" t="s">
        <v>45</v>
      </c>
      <c r="AA14" s="2" t="s">
        <v>46</v>
      </c>
    </row>
    <row r="15" customFormat="false" ht="15" hidden="false" customHeight="true" outlineLevel="0" collapsed="false">
      <c r="A15" s="1" t="s">
        <v>47</v>
      </c>
      <c r="B15" s="1" t="s">
        <v>43</v>
      </c>
      <c r="C15" s="1" t="s">
        <v>44</v>
      </c>
      <c r="S15" s="1" t="s">
        <v>30</v>
      </c>
      <c r="T15" s="1" t="s">
        <v>48</v>
      </c>
      <c r="Z15" s="4" t="s">
        <v>45</v>
      </c>
      <c r="AA15" s="1" t="s">
        <v>49</v>
      </c>
    </row>
    <row r="16" customFormat="false" ht="15" hidden="false" customHeight="true" outlineLevel="0" collapsed="false">
      <c r="A16" s="1" t="s">
        <v>50</v>
      </c>
      <c r="B16" s="1" t="s">
        <v>43</v>
      </c>
      <c r="C16" s="1" t="s">
        <v>44</v>
      </c>
      <c r="Z16" s="1" t="s">
        <v>45</v>
      </c>
      <c r="AA16" s="1" t="s">
        <v>51</v>
      </c>
    </row>
    <row r="17" customFormat="false" ht="15" hidden="false" customHeight="true" outlineLevel="0" collapsed="false">
      <c r="A17" s="1" t="s">
        <v>52</v>
      </c>
      <c r="B17" s="1" t="s">
        <v>43</v>
      </c>
      <c r="C17" s="1" t="s">
        <v>44</v>
      </c>
      <c r="H17" s="1" t="n">
        <v>0.6</v>
      </c>
      <c r="I17" s="1" t="n">
        <v>1.5</v>
      </c>
      <c r="M17" s="1" t="n">
        <v>15</v>
      </c>
      <c r="S17" s="1" t="s">
        <v>30</v>
      </c>
      <c r="W17" s="1" t="n">
        <v>2613</v>
      </c>
      <c r="Z17" s="4" t="s">
        <v>45</v>
      </c>
      <c r="AA17" s="1" t="s">
        <v>53</v>
      </c>
    </row>
    <row r="18" customFormat="false" ht="15" hidden="false" customHeight="true" outlineLevel="0" collapsed="false">
      <c r="A18" s="1" t="s">
        <v>52</v>
      </c>
      <c r="B18" s="1" t="s">
        <v>43</v>
      </c>
      <c r="C18" s="1" t="s">
        <v>44</v>
      </c>
      <c r="H18" s="1" t="n">
        <v>2</v>
      </c>
      <c r="I18" s="1" t="n">
        <v>11</v>
      </c>
      <c r="M18" s="1" t="n">
        <v>15</v>
      </c>
      <c r="S18" s="1" t="s">
        <v>30</v>
      </c>
      <c r="W18" s="1" t="n">
        <v>4086</v>
      </c>
      <c r="Z18" s="1" t="s">
        <v>45</v>
      </c>
    </row>
    <row r="19" customFormat="false" ht="15" hidden="false" customHeight="true" outlineLevel="0" collapsed="false">
      <c r="A19" s="1" t="s">
        <v>52</v>
      </c>
      <c r="B19" s="1" t="s">
        <v>43</v>
      </c>
      <c r="C19" s="1" t="s">
        <v>44</v>
      </c>
      <c r="H19" s="1" t="n">
        <v>12</v>
      </c>
      <c r="I19" s="1" t="n">
        <v>17</v>
      </c>
      <c r="M19" s="1" t="n">
        <v>15</v>
      </c>
      <c r="S19" s="1" t="s">
        <v>30</v>
      </c>
      <c r="W19" s="1" t="n">
        <v>4724</v>
      </c>
      <c r="Z19" s="4" t="s">
        <v>45</v>
      </c>
    </row>
    <row r="20" customFormat="false" ht="15" hidden="false" customHeight="true" outlineLevel="0" collapsed="false">
      <c r="A20" s="1" t="s">
        <v>52</v>
      </c>
      <c r="B20" s="1" t="s">
        <v>43</v>
      </c>
      <c r="C20" s="1" t="s">
        <v>44</v>
      </c>
      <c r="H20" s="1" t="n">
        <v>18</v>
      </c>
      <c r="I20" s="1" t="n">
        <v>29</v>
      </c>
      <c r="N20" s="1" t="n">
        <v>1200</v>
      </c>
      <c r="P20" s="1" t="n">
        <v>61</v>
      </c>
      <c r="S20" s="1" t="s">
        <v>30</v>
      </c>
      <c r="W20" s="1" t="n">
        <v>5558</v>
      </c>
      <c r="Z20" s="1" t="s">
        <v>45</v>
      </c>
    </row>
    <row r="22" customFormat="false" ht="15" hidden="false" customHeight="true" outlineLevel="0" collapsed="false">
      <c r="A22" s="1" t="s">
        <v>54</v>
      </c>
      <c r="B22" s="1" t="s">
        <v>55</v>
      </c>
      <c r="C22" s="1" t="s">
        <v>56</v>
      </c>
      <c r="H22" s="1" t="n">
        <v>18</v>
      </c>
      <c r="I22" s="1" t="n">
        <v>80</v>
      </c>
      <c r="M22" s="1" t="n">
        <v>10</v>
      </c>
      <c r="S22" s="1" t="s">
        <v>30</v>
      </c>
      <c r="T22" s="1" t="s">
        <v>57</v>
      </c>
      <c r="U22" s="1" t="n">
        <v>19.4</v>
      </c>
      <c r="W22" s="1" t="n">
        <v>3083</v>
      </c>
      <c r="Z22" s="1" t="s">
        <v>32</v>
      </c>
      <c r="AA22" s="1" t="s">
        <v>58</v>
      </c>
    </row>
    <row r="23" customFormat="false" ht="15" hidden="false" customHeight="true" outlineLevel="0" collapsed="false">
      <c r="A23" s="1" t="s">
        <v>59</v>
      </c>
      <c r="B23" s="1" t="s">
        <v>55</v>
      </c>
      <c r="C23" s="1" t="s">
        <v>56</v>
      </c>
      <c r="H23" s="1" t="n">
        <v>18</v>
      </c>
      <c r="I23" s="1" t="n">
        <v>80</v>
      </c>
      <c r="M23" s="1" t="n">
        <v>10</v>
      </c>
      <c r="S23" s="1" t="s">
        <v>30</v>
      </c>
      <c r="T23" s="1" t="s">
        <v>57</v>
      </c>
      <c r="U23" s="1" t="n">
        <v>18.7</v>
      </c>
      <c r="V23" s="1" t="n">
        <v>5.1</v>
      </c>
      <c r="W23" s="1" t="n">
        <v>2979</v>
      </c>
      <c r="X23" s="1" t="n">
        <v>1087</v>
      </c>
      <c r="Z23" s="1" t="s">
        <v>32</v>
      </c>
      <c r="AA23" s="1" t="s">
        <v>60</v>
      </c>
    </row>
    <row r="24" customFormat="false" ht="15" hidden="false" customHeight="true" outlineLevel="0" collapsed="false">
      <c r="A24" s="1" t="s">
        <v>59</v>
      </c>
      <c r="B24" s="1" t="s">
        <v>55</v>
      </c>
      <c r="C24" s="1" t="s">
        <v>56</v>
      </c>
      <c r="F24" s="1" t="n">
        <v>14.5</v>
      </c>
      <c r="G24" s="1" t="n">
        <v>1.7</v>
      </c>
      <c r="H24" s="1" t="n">
        <v>12</v>
      </c>
      <c r="I24" s="1" t="n">
        <v>18</v>
      </c>
      <c r="M24" s="1" t="n">
        <v>10</v>
      </c>
      <c r="S24" s="1" t="s">
        <v>30</v>
      </c>
      <c r="T24" s="1" t="s">
        <v>61</v>
      </c>
      <c r="U24" s="1" t="n">
        <v>17.5</v>
      </c>
      <c r="V24" s="1" t="n">
        <v>6.8</v>
      </c>
      <c r="W24" s="1" t="n">
        <v>3408</v>
      </c>
      <c r="X24" s="1" t="n">
        <v>1078</v>
      </c>
      <c r="Z24" s="1" t="s">
        <v>32</v>
      </c>
      <c r="AA24" s="1" t="s">
        <v>62</v>
      </c>
    </row>
    <row r="25" customFormat="false" ht="15" hidden="false" customHeight="true" outlineLevel="0" collapsed="false">
      <c r="A25" s="1" t="s">
        <v>59</v>
      </c>
      <c r="B25" s="1" t="s">
        <v>55</v>
      </c>
      <c r="C25" s="1" t="s">
        <v>56</v>
      </c>
      <c r="F25" s="1" t="n">
        <v>9.5</v>
      </c>
      <c r="G25" s="1" t="n">
        <v>1.7</v>
      </c>
      <c r="H25" s="1" t="n">
        <v>6</v>
      </c>
      <c r="I25" s="1" t="n">
        <v>11</v>
      </c>
      <c r="M25" s="1" t="n">
        <v>10</v>
      </c>
      <c r="S25" s="1" t="s">
        <v>30</v>
      </c>
      <c r="T25" s="1" t="s">
        <v>61</v>
      </c>
      <c r="U25" s="1" t="n">
        <v>16.8</v>
      </c>
      <c r="V25" s="1" t="n">
        <v>5.6</v>
      </c>
      <c r="W25" s="1" t="n">
        <v>2760</v>
      </c>
      <c r="X25" s="1" t="n">
        <v>1031</v>
      </c>
      <c r="Z25" s="1" t="s">
        <v>32</v>
      </c>
      <c r="AA25" s="1" t="s">
        <v>62</v>
      </c>
    </row>
    <row r="26" customFormat="false" ht="15" hidden="false" customHeight="true" outlineLevel="0" collapsed="false">
      <c r="A26" s="1" t="s">
        <v>63</v>
      </c>
      <c r="B26" s="1" t="s">
        <v>55</v>
      </c>
      <c r="C26" s="1" t="s">
        <v>56</v>
      </c>
      <c r="F26" s="1" t="n">
        <v>38</v>
      </c>
      <c r="H26" s="1" t="n">
        <v>18</v>
      </c>
      <c r="I26" s="1" t="n">
        <v>80</v>
      </c>
      <c r="M26" s="1" t="n">
        <v>10</v>
      </c>
      <c r="S26" s="1" t="s">
        <v>30</v>
      </c>
      <c r="T26" s="1" t="s">
        <v>64</v>
      </c>
      <c r="Z26" s="1" t="s">
        <v>32</v>
      </c>
      <c r="AA26" s="1" t="s">
        <v>62</v>
      </c>
    </row>
    <row r="27" customFormat="false" ht="15" hidden="false" customHeight="true" outlineLevel="0" collapsed="false">
      <c r="A27" s="1" t="s">
        <v>63</v>
      </c>
      <c r="B27" s="1" t="s">
        <v>55</v>
      </c>
      <c r="C27" s="1" t="s">
        <v>56</v>
      </c>
      <c r="F27" s="1" t="n">
        <v>14</v>
      </c>
      <c r="H27" s="1" t="n">
        <v>6</v>
      </c>
      <c r="I27" s="1" t="n">
        <v>18</v>
      </c>
      <c r="M27" s="1" t="n">
        <v>10</v>
      </c>
      <c r="S27" s="1" t="s">
        <v>30</v>
      </c>
      <c r="T27" s="1" t="s">
        <v>65</v>
      </c>
      <c r="Z27" s="1" t="s">
        <v>32</v>
      </c>
      <c r="AA27" s="2" t="s">
        <v>66</v>
      </c>
    </row>
    <row r="28" customFormat="false" ht="15" hidden="false" customHeight="true" outlineLevel="0" collapsed="false">
      <c r="A28" s="1" t="s">
        <v>67</v>
      </c>
      <c r="B28" s="1" t="s">
        <v>55</v>
      </c>
      <c r="C28" s="1" t="s">
        <v>56</v>
      </c>
      <c r="J28" s="1" t="n">
        <v>5</v>
      </c>
      <c r="K28" s="1" t="n">
        <v>17</v>
      </c>
      <c r="M28" s="1" t="n">
        <v>10</v>
      </c>
      <c r="S28" s="1" t="s">
        <v>30</v>
      </c>
      <c r="T28" s="1" t="s">
        <v>65</v>
      </c>
      <c r="Z28" s="1" t="s">
        <v>32</v>
      </c>
      <c r="AA28" s="1" t="s">
        <v>68</v>
      </c>
    </row>
    <row r="30" customFormat="false" ht="15" hidden="false" customHeight="true" outlineLevel="0" collapsed="false">
      <c r="A30" s="1" t="s">
        <v>69</v>
      </c>
      <c r="B30" s="1" t="s">
        <v>70</v>
      </c>
      <c r="C30" s="1" t="s">
        <v>44</v>
      </c>
      <c r="Z30" s="1" t="s">
        <v>45</v>
      </c>
    </row>
    <row r="31" customFormat="false" ht="15" hidden="false" customHeight="true" outlineLevel="0" collapsed="false">
      <c r="A31" s="1" t="s">
        <v>71</v>
      </c>
      <c r="B31" s="1" t="s">
        <v>70</v>
      </c>
      <c r="C31" s="1" t="s">
        <v>44</v>
      </c>
      <c r="S31" s="1" t="s">
        <v>30</v>
      </c>
      <c r="Z31" s="4" t="s">
        <v>45</v>
      </c>
      <c r="AA31" s="1" t="s">
        <v>72</v>
      </c>
    </row>
    <row r="33" customFormat="false" ht="15" hidden="false" customHeight="true" outlineLevel="0" collapsed="false">
      <c r="A33" s="1" t="s">
        <v>73</v>
      </c>
      <c r="B33" s="1" t="s">
        <v>74</v>
      </c>
      <c r="C33" s="1" t="s">
        <v>75</v>
      </c>
      <c r="S33" s="1" t="s">
        <v>30</v>
      </c>
      <c r="Z33" s="1" t="s">
        <v>32</v>
      </c>
    </row>
    <row r="34" customFormat="false" ht="15" hidden="false" customHeight="true" outlineLevel="0" collapsed="false">
      <c r="A34" s="1" t="s">
        <v>76</v>
      </c>
      <c r="B34" s="1" t="s">
        <v>74</v>
      </c>
      <c r="C34" s="1" t="s">
        <v>75</v>
      </c>
      <c r="S34" s="1" t="s">
        <v>30</v>
      </c>
      <c r="Z34" s="1" t="s">
        <v>32</v>
      </c>
    </row>
    <row r="35" customFormat="false" ht="15" hidden="false" customHeight="true" outlineLevel="0" collapsed="false">
      <c r="A35" s="1" t="s">
        <v>77</v>
      </c>
      <c r="B35" s="2" t="s">
        <v>74</v>
      </c>
      <c r="C35" s="1" t="s">
        <v>75</v>
      </c>
      <c r="S35" s="1" t="s">
        <v>30</v>
      </c>
      <c r="Z35" s="1" t="s">
        <v>32</v>
      </c>
    </row>
    <row r="40" customFormat="false" ht="15" hidden="false" customHeight="true" outlineLevel="0" collapsed="false">
      <c r="A40" s="1" t="s">
        <v>78</v>
      </c>
      <c r="B40" s="1" t="s">
        <v>79</v>
      </c>
      <c r="C40" s="1" t="s">
        <v>80</v>
      </c>
      <c r="F40" s="1" t="n">
        <v>39.8</v>
      </c>
      <c r="M40" s="1" t="n">
        <v>15</v>
      </c>
      <c r="S40" s="1" t="s">
        <v>30</v>
      </c>
      <c r="T40" s="1" t="s">
        <v>81</v>
      </c>
      <c r="U40" s="1" t="n">
        <v>22.4</v>
      </c>
      <c r="W40" s="1" t="n">
        <v>4185</v>
      </c>
      <c r="Z40" s="1" t="s">
        <v>32</v>
      </c>
      <c r="AA40" s="1" t="s">
        <v>82</v>
      </c>
    </row>
    <row r="41" customFormat="false" ht="15" hidden="false" customHeight="true" outlineLevel="0" collapsed="false">
      <c r="A41" s="1" t="s">
        <v>83</v>
      </c>
      <c r="B41" s="1" t="s">
        <v>79</v>
      </c>
      <c r="C41" s="1" t="s">
        <v>80</v>
      </c>
      <c r="F41" s="1" t="n">
        <f aca="false">8.1/12</f>
        <v>0.675</v>
      </c>
      <c r="G41" s="1" t="n">
        <f aca="false">1.7/12</f>
        <v>0.141666666666667</v>
      </c>
      <c r="M41" s="1" t="n">
        <v>15</v>
      </c>
      <c r="S41" s="1" t="s">
        <v>30</v>
      </c>
      <c r="T41" s="1" t="s">
        <v>84</v>
      </c>
      <c r="W41" s="1" t="n">
        <v>5295</v>
      </c>
      <c r="Z41" s="1" t="s">
        <v>32</v>
      </c>
      <c r="AA41" s="2" t="s">
        <v>85</v>
      </c>
    </row>
    <row r="42" customFormat="false" ht="15" hidden="false" customHeight="true" outlineLevel="0" collapsed="false">
      <c r="A42" s="1" t="s">
        <v>83</v>
      </c>
      <c r="B42" s="1" t="s">
        <v>79</v>
      </c>
      <c r="C42" s="1" t="s">
        <v>80</v>
      </c>
      <c r="F42" s="1" t="n">
        <f aca="false">7.3/12</f>
        <v>0.608333333333333</v>
      </c>
      <c r="G42" s="1" t="n">
        <f aca="false">2/12</f>
        <v>0.166666666666667</v>
      </c>
      <c r="M42" s="1" t="n">
        <v>10</v>
      </c>
      <c r="S42" s="1" t="s">
        <v>30</v>
      </c>
      <c r="T42" s="1" t="s">
        <v>84</v>
      </c>
      <c r="W42" s="1" t="n">
        <v>3508</v>
      </c>
      <c r="Z42" s="1" t="s">
        <v>32</v>
      </c>
      <c r="AA42" s="2" t="s">
        <v>85</v>
      </c>
    </row>
    <row r="43" customFormat="false" ht="15" hidden="false" customHeight="true" outlineLevel="0" collapsed="false">
      <c r="A43" s="1" t="s">
        <v>83</v>
      </c>
      <c r="B43" s="1" t="s">
        <v>79</v>
      </c>
      <c r="C43" s="1" t="s">
        <v>80</v>
      </c>
      <c r="F43" s="1" t="n">
        <f aca="false">6.9/12</f>
        <v>0.575</v>
      </c>
      <c r="G43" s="1" t="n">
        <f aca="false">1.3/12</f>
        <v>0.108333333333333</v>
      </c>
      <c r="M43" s="1" t="n">
        <v>3</v>
      </c>
      <c r="S43" s="1" t="s">
        <v>30</v>
      </c>
      <c r="T43" s="1" t="s">
        <v>84</v>
      </c>
      <c r="W43" s="1" t="n">
        <v>593</v>
      </c>
      <c r="Z43" s="1" t="s">
        <v>32</v>
      </c>
      <c r="AA43" s="2" t="s">
        <v>85</v>
      </c>
    </row>
    <row r="44" customFormat="false" ht="15" hidden="false" customHeight="true" outlineLevel="0" collapsed="false">
      <c r="A44" s="1" t="s">
        <v>86</v>
      </c>
      <c r="B44" s="1" t="s">
        <v>79</v>
      </c>
      <c r="C44" s="1" t="s">
        <v>80</v>
      </c>
      <c r="F44" s="1" t="n">
        <f aca="false">5.2/12</f>
        <v>0.433333333333333</v>
      </c>
      <c r="G44" s="1" t="n">
        <f aca="false">0.9/12</f>
        <v>0.075</v>
      </c>
      <c r="M44" s="1" t="n">
        <v>15</v>
      </c>
      <c r="S44" s="1" t="s">
        <v>30</v>
      </c>
      <c r="T44" s="1" t="s">
        <v>87</v>
      </c>
      <c r="U44" s="1" t="n">
        <v>16.8</v>
      </c>
      <c r="Z44" s="1" t="s">
        <v>32</v>
      </c>
    </row>
    <row r="45" customFormat="false" ht="15" hidden="false" customHeight="true" outlineLevel="0" collapsed="false">
      <c r="A45" s="1" t="s">
        <v>86</v>
      </c>
      <c r="B45" s="1" t="s">
        <v>79</v>
      </c>
      <c r="C45" s="1" t="s">
        <v>80</v>
      </c>
      <c r="F45" s="1" t="n">
        <f aca="false">1.5/12</f>
        <v>0.125</v>
      </c>
      <c r="G45" s="1" t="n">
        <f aca="false">0.4/12</f>
        <v>0.0333333333333333</v>
      </c>
      <c r="M45" s="1" t="n">
        <v>5</v>
      </c>
      <c r="S45" s="1" t="s">
        <v>30</v>
      </c>
      <c r="T45" s="1" t="s">
        <v>87</v>
      </c>
      <c r="U45" s="1" t="n">
        <v>22.6</v>
      </c>
      <c r="Z45" s="1" t="s">
        <v>32</v>
      </c>
    </row>
    <row r="47" customFormat="false" ht="15" hidden="false" customHeight="true" outlineLevel="0" collapsed="false">
      <c r="A47" s="1" t="s">
        <v>88</v>
      </c>
      <c r="B47" s="1" t="s">
        <v>89</v>
      </c>
      <c r="C47" s="1" t="s">
        <v>90</v>
      </c>
      <c r="F47" s="1" t="n">
        <v>8.3</v>
      </c>
      <c r="G47" s="1" t="n">
        <v>4.7</v>
      </c>
      <c r="H47" s="1" t="n">
        <v>3</v>
      </c>
      <c r="I47" s="1" t="n">
        <v>15.6</v>
      </c>
      <c r="O47" s="1" t="n">
        <v>375</v>
      </c>
      <c r="P47" s="1" t="n">
        <v>32.5</v>
      </c>
      <c r="Q47" s="1" t="n">
        <v>1</v>
      </c>
      <c r="R47" s="1" t="s">
        <v>91</v>
      </c>
      <c r="S47" s="1" t="s">
        <v>30</v>
      </c>
      <c r="T47" s="1" t="s">
        <v>92</v>
      </c>
      <c r="Z47" s="4" t="s">
        <v>45</v>
      </c>
      <c r="AA47" s="1" t="s">
        <v>93</v>
      </c>
    </row>
    <row r="48" customFormat="false" ht="15" hidden="false" customHeight="true" outlineLevel="0" collapsed="false">
      <c r="A48" s="1" t="s">
        <v>94</v>
      </c>
      <c r="B48" s="1" t="s">
        <v>89</v>
      </c>
      <c r="C48" s="1" t="s">
        <v>90</v>
      </c>
      <c r="H48" s="1" t="n">
        <v>25</v>
      </c>
      <c r="I48" s="1" t="n">
        <v>75</v>
      </c>
      <c r="S48" s="1" t="s">
        <v>30</v>
      </c>
      <c r="T48" s="1" t="s">
        <v>95</v>
      </c>
      <c r="U48" s="1" t="n">
        <v>15.5</v>
      </c>
      <c r="V48" s="1" t="n">
        <v>6.7</v>
      </c>
      <c r="Z48" s="4" t="s">
        <v>45</v>
      </c>
    </row>
    <row r="49" customFormat="false" ht="15" hidden="false" customHeight="true" outlineLevel="0" collapsed="false">
      <c r="A49" s="1" t="s">
        <v>94</v>
      </c>
      <c r="B49" s="1" t="s">
        <v>89</v>
      </c>
      <c r="C49" s="1" t="s">
        <v>90</v>
      </c>
      <c r="H49" s="1" t="n">
        <v>60</v>
      </c>
      <c r="I49" s="1" t="n">
        <v>68</v>
      </c>
      <c r="S49" s="1" t="s">
        <v>30</v>
      </c>
      <c r="T49" s="1" t="s">
        <v>96</v>
      </c>
      <c r="U49" s="1" t="n">
        <v>2.6</v>
      </c>
      <c r="V49" s="1" t="n">
        <v>0.2</v>
      </c>
      <c r="Z49" s="4" t="s">
        <v>45</v>
      </c>
    </row>
    <row r="50" customFormat="false" ht="15" hidden="false" customHeight="true" outlineLevel="0" collapsed="false">
      <c r="A50" s="1" t="s">
        <v>97</v>
      </c>
      <c r="B50" s="1" t="s">
        <v>89</v>
      </c>
      <c r="C50" s="1" t="s">
        <v>90</v>
      </c>
      <c r="J50" s="1" t="n">
        <v>18</v>
      </c>
      <c r="K50" s="1" t="n">
        <v>65</v>
      </c>
      <c r="N50" s="1" t="n">
        <v>1000</v>
      </c>
      <c r="P50" s="1" t="n">
        <v>62</v>
      </c>
      <c r="S50" s="1" t="s">
        <v>30</v>
      </c>
      <c r="T50" s="1" t="s">
        <v>98</v>
      </c>
      <c r="U50" s="1" t="n">
        <f aca="false">391/24</f>
        <v>16.2916666666667</v>
      </c>
      <c r="W50" s="1" t="n">
        <f aca="false">93.58*24</f>
        <v>2245.92</v>
      </c>
      <c r="Z50" s="4" t="s">
        <v>45</v>
      </c>
      <c r="AA50" s="1" t="s">
        <v>99</v>
      </c>
    </row>
    <row r="51" customFormat="false" ht="15" hidden="false" customHeight="true" outlineLevel="0" collapsed="false">
      <c r="A51" s="1" t="s">
        <v>100</v>
      </c>
      <c r="B51" s="1" t="s">
        <v>89</v>
      </c>
      <c r="C51" s="1" t="s">
        <v>90</v>
      </c>
      <c r="F51" s="1" t="n">
        <v>49.8</v>
      </c>
      <c r="G51" s="1" t="n">
        <v>10.5</v>
      </c>
      <c r="O51" s="1" t="n">
        <v>375</v>
      </c>
      <c r="S51" s="1" t="s">
        <v>30</v>
      </c>
      <c r="T51" s="1" t="s">
        <v>101</v>
      </c>
      <c r="U51" s="1" t="n">
        <v>22</v>
      </c>
      <c r="W51" s="1" t="n">
        <v>3769</v>
      </c>
      <c r="X51" s="1" t="n">
        <v>1005</v>
      </c>
      <c r="Z51" s="4" t="s">
        <v>45</v>
      </c>
    </row>
    <row r="52" customFormat="false" ht="15" hidden="false" customHeight="true" outlineLevel="0" collapsed="false">
      <c r="A52" s="1" t="s">
        <v>102</v>
      </c>
      <c r="B52" s="1" t="s">
        <v>89</v>
      </c>
      <c r="C52" s="1" t="s">
        <v>90</v>
      </c>
      <c r="H52" s="1" t="n">
        <v>1</v>
      </c>
      <c r="I52" s="1" t="n">
        <v>15</v>
      </c>
      <c r="O52" s="1" t="n">
        <v>375</v>
      </c>
      <c r="T52" s="2" t="s">
        <v>103</v>
      </c>
      <c r="U52" s="1" t="n">
        <v>14.6</v>
      </c>
      <c r="V52" s="1" t="n">
        <v>5.2</v>
      </c>
      <c r="Z52" s="4" t="s">
        <v>45</v>
      </c>
    </row>
    <row r="57" customFormat="false" ht="15" hidden="false" customHeight="true" outlineLevel="0" collapsed="false">
      <c r="A57" s="1" t="s">
        <v>104</v>
      </c>
      <c r="B57" s="1" t="s">
        <v>105</v>
      </c>
      <c r="C57" s="1" t="s">
        <v>106</v>
      </c>
      <c r="S57" s="1" t="s">
        <v>30</v>
      </c>
      <c r="Z57" s="1" t="s">
        <v>32</v>
      </c>
    </row>
    <row r="58" customFormat="false" ht="15" hidden="false" customHeight="true" outlineLevel="0" collapsed="false">
      <c r="A58" s="1" t="s">
        <v>107</v>
      </c>
      <c r="B58" s="1" t="s">
        <v>105</v>
      </c>
      <c r="C58" s="1" t="s">
        <v>106</v>
      </c>
      <c r="F58" s="1" t="n">
        <v>9.5</v>
      </c>
      <c r="J58" s="1" t="n">
        <v>6</v>
      </c>
      <c r="K58" s="1" t="n">
        <v>11.9</v>
      </c>
      <c r="S58" s="1" t="s">
        <v>108</v>
      </c>
      <c r="Z58" s="1" t="s">
        <v>32</v>
      </c>
      <c r="AA58" s="1" t="s">
        <v>109</v>
      </c>
    </row>
    <row r="70" s="5" customFormat="true" ht="15" hidden="false" customHeight="true" outlineLevel="0" collapsed="false">
      <c r="AB70" s="1"/>
      <c r="AC70" s="1"/>
    </row>
    <row r="72" customFormat="false" ht="15" hidden="false" customHeight="true" outlineLevel="0" collapsed="false">
      <c r="A72" s="1" t="s">
        <v>110</v>
      </c>
      <c r="B72" s="1" t="s">
        <v>111</v>
      </c>
      <c r="C72" s="1" t="s">
        <v>112</v>
      </c>
      <c r="J72" s="1" t="n">
        <v>2</v>
      </c>
      <c r="Z72" s="1" t="s">
        <v>32</v>
      </c>
      <c r="AA72" s="1" t="s">
        <v>113</v>
      </c>
    </row>
    <row r="73" customFormat="false" ht="15" hidden="false" customHeight="true" outlineLevel="0" collapsed="false">
      <c r="A73" s="1" t="s">
        <v>114</v>
      </c>
      <c r="B73" s="1" t="s">
        <v>111</v>
      </c>
      <c r="C73" s="2" t="s">
        <v>112</v>
      </c>
      <c r="J73" s="1" t="n">
        <f aca="false">13/12</f>
        <v>1.08333333333333</v>
      </c>
      <c r="Z73" s="1" t="s">
        <v>32</v>
      </c>
      <c r="AA73" s="2" t="s">
        <v>115</v>
      </c>
    </row>
    <row r="74" customFormat="false" ht="15" hidden="false" customHeight="true" outlineLevel="0" collapsed="false">
      <c r="A74" s="1" t="s">
        <v>116</v>
      </c>
      <c r="B74" s="1" t="s">
        <v>111</v>
      </c>
      <c r="C74" s="2" t="s">
        <v>112</v>
      </c>
      <c r="F74" s="1" t="n">
        <v>6.8</v>
      </c>
      <c r="G74" s="1" t="n">
        <v>4.45</v>
      </c>
      <c r="H74" s="1" t="n">
        <v>2</v>
      </c>
      <c r="I74" s="1" t="n">
        <v>31</v>
      </c>
      <c r="L74" s="1" t="n">
        <v>117</v>
      </c>
      <c r="Z74" s="1" t="s">
        <v>32</v>
      </c>
      <c r="AA74" s="2" t="s">
        <v>117</v>
      </c>
    </row>
    <row r="75" customFormat="false" ht="15" hidden="false" customHeight="true" outlineLevel="0" collapsed="false">
      <c r="A75" s="1" t="s">
        <v>118</v>
      </c>
      <c r="B75" s="1" t="s">
        <v>111</v>
      </c>
      <c r="C75" s="2" t="s">
        <v>112</v>
      </c>
      <c r="F75" s="1" t="n">
        <v>5.4</v>
      </c>
      <c r="G75" s="1" t="n">
        <v>2.1</v>
      </c>
      <c r="H75" s="1" t="n">
        <v>1</v>
      </c>
      <c r="I75" s="1" t="n">
        <v>10</v>
      </c>
      <c r="L75" s="1" t="n">
        <v>25</v>
      </c>
      <c r="Z75" s="1" t="s">
        <v>32</v>
      </c>
      <c r="AA75" s="2" t="s">
        <v>119</v>
      </c>
    </row>
    <row r="76" customFormat="false" ht="15" hidden="false" customHeight="true" outlineLevel="0" collapsed="false">
      <c r="A76" s="1" t="s">
        <v>120</v>
      </c>
      <c r="B76" s="1" t="s">
        <v>111</v>
      </c>
      <c r="C76" s="2" t="s">
        <v>112</v>
      </c>
      <c r="F76" s="1" t="n">
        <v>5.6</v>
      </c>
      <c r="G76" s="1" t="n">
        <v>1.97</v>
      </c>
      <c r="H76" s="1" t="n">
        <v>3</v>
      </c>
      <c r="I76" s="1" t="n">
        <v>10</v>
      </c>
      <c r="L76" s="1" t="n">
        <v>22</v>
      </c>
      <c r="Z76" s="1" t="s">
        <v>32</v>
      </c>
    </row>
    <row r="80" s="6" customFormat="true" ht="15" hidden="false" customHeight="true" outlineLevel="0" collapsed="false"/>
    <row r="81" customFormat="false" ht="15" hidden="false" customHeight="true" outlineLevel="0" collapsed="false">
      <c r="A81" s="1" t="s">
        <v>121</v>
      </c>
    </row>
    <row r="82" s="6" customFormat="true" ht="15" hidden="false" customHeight="true" outlineLevel="0" collapsed="false"/>
    <row r="85" customFormat="false" ht="15" hidden="false" customHeight="true" outlineLevel="0" collapsed="false">
      <c r="A85" s="1" t="s">
        <v>122</v>
      </c>
      <c r="B85" s="1" t="s">
        <v>123</v>
      </c>
      <c r="C85" s="1" t="s">
        <v>80</v>
      </c>
      <c r="F85" s="1" t="n">
        <v>24</v>
      </c>
      <c r="G85" s="1" t="n">
        <v>3</v>
      </c>
      <c r="H85" s="1" t="n">
        <v>19</v>
      </c>
      <c r="I85" s="1" t="n">
        <v>29</v>
      </c>
      <c r="J85" s="1" t="n">
        <v>18</v>
      </c>
      <c r="K85" s="1" t="n">
        <v>45</v>
      </c>
      <c r="L85" s="1" t="n">
        <v>2</v>
      </c>
      <c r="M85" s="1" t="n">
        <v>0.025</v>
      </c>
      <c r="S85" s="1" t="s">
        <v>30</v>
      </c>
      <c r="T85" s="2" t="s">
        <v>31</v>
      </c>
      <c r="U85" s="3" t="n">
        <f aca="false">480/24</f>
        <v>20</v>
      </c>
      <c r="V85" s="3"/>
      <c r="W85" s="2"/>
      <c r="X85" s="2"/>
      <c r="Z85" s="1" t="s">
        <v>32</v>
      </c>
    </row>
    <row r="86" customFormat="false" ht="15" hidden="false" customHeight="true" outlineLevel="0" collapsed="false">
      <c r="A86" s="1" t="s">
        <v>122</v>
      </c>
      <c r="B86" s="1" t="s">
        <v>123</v>
      </c>
      <c r="C86" s="1" t="s">
        <v>80</v>
      </c>
      <c r="F86" s="1" t="n">
        <v>24</v>
      </c>
      <c r="G86" s="1" t="n">
        <v>3</v>
      </c>
      <c r="H86" s="1" t="n">
        <v>19</v>
      </c>
      <c r="I86" s="1" t="n">
        <v>29</v>
      </c>
      <c r="J86" s="1" t="n">
        <v>18</v>
      </c>
      <c r="K86" s="1" t="n">
        <v>45</v>
      </c>
      <c r="L86" s="1" t="n">
        <v>2</v>
      </c>
      <c r="M86" s="1" t="n">
        <v>0.25</v>
      </c>
      <c r="S86" s="1" t="s">
        <v>30</v>
      </c>
      <c r="T86" s="2" t="s">
        <v>31</v>
      </c>
      <c r="U86" s="3" t="n">
        <f aca="false">493/24</f>
        <v>20.5416666666667</v>
      </c>
      <c r="V86" s="3"/>
      <c r="W86" s="2"/>
      <c r="X86" s="2"/>
      <c r="Z86" s="1" t="s">
        <v>32</v>
      </c>
    </row>
    <row r="87" customFormat="false" ht="15" hidden="false" customHeight="true" outlineLevel="0" collapsed="false">
      <c r="A87" s="1" t="s">
        <v>122</v>
      </c>
      <c r="B87" s="1" t="s">
        <v>123</v>
      </c>
      <c r="C87" s="1" t="s">
        <v>80</v>
      </c>
      <c r="F87" s="1" t="n">
        <v>24</v>
      </c>
      <c r="G87" s="1" t="n">
        <v>3</v>
      </c>
      <c r="H87" s="1" t="n">
        <v>19</v>
      </c>
      <c r="I87" s="1" t="n">
        <v>29</v>
      </c>
      <c r="J87" s="1" t="n">
        <v>18</v>
      </c>
      <c r="K87" s="1" t="n">
        <v>45</v>
      </c>
      <c r="L87" s="1" t="n">
        <v>4</v>
      </c>
      <c r="M87" s="1" t="n">
        <v>1.25</v>
      </c>
      <c r="S87" s="1" t="s">
        <v>30</v>
      </c>
      <c r="T87" s="2" t="s">
        <v>31</v>
      </c>
      <c r="U87" s="3" t="n">
        <f aca="false">603/24</f>
        <v>25.125</v>
      </c>
      <c r="V87" s="3" t="n">
        <f aca="false">115/24</f>
        <v>4.79166666666667</v>
      </c>
      <c r="W87" s="2"/>
      <c r="X87" s="2"/>
      <c r="Z87" s="1" t="s">
        <v>32</v>
      </c>
    </row>
    <row r="88" customFormat="false" ht="15" hidden="false" customHeight="true" outlineLevel="0" collapsed="false">
      <c r="A88" s="1" t="s">
        <v>122</v>
      </c>
      <c r="B88" s="1" t="s">
        <v>123</v>
      </c>
      <c r="C88" s="1" t="s">
        <v>80</v>
      </c>
      <c r="F88" s="1" t="n">
        <v>24</v>
      </c>
      <c r="G88" s="1" t="n">
        <v>3</v>
      </c>
      <c r="H88" s="1" t="n">
        <v>19</v>
      </c>
      <c r="I88" s="1" t="n">
        <v>29</v>
      </c>
      <c r="J88" s="1" t="n">
        <v>18</v>
      </c>
      <c r="K88" s="1" t="n">
        <v>45</v>
      </c>
      <c r="L88" s="1" t="n">
        <v>4</v>
      </c>
      <c r="M88" s="1" t="n">
        <v>5</v>
      </c>
      <c r="S88" s="1" t="s">
        <v>30</v>
      </c>
      <c r="T88" s="2" t="s">
        <v>31</v>
      </c>
      <c r="U88" s="3" t="n">
        <f aca="false">521/24</f>
        <v>21.7083333333333</v>
      </c>
      <c r="V88" s="3" t="n">
        <f aca="false">107/24</f>
        <v>4.45833333333333</v>
      </c>
      <c r="W88" s="2"/>
      <c r="X88" s="2"/>
      <c r="Z88" s="1" t="s">
        <v>32</v>
      </c>
    </row>
    <row r="89" customFormat="false" ht="15" hidden="false" customHeight="true" outlineLevel="0" collapsed="false">
      <c r="A89" s="1" t="s">
        <v>122</v>
      </c>
      <c r="B89" s="1" t="s">
        <v>123</v>
      </c>
      <c r="C89" s="1" t="s">
        <v>80</v>
      </c>
      <c r="F89" s="1" t="n">
        <v>24</v>
      </c>
      <c r="G89" s="1" t="n">
        <v>3</v>
      </c>
      <c r="H89" s="1" t="n">
        <v>19</v>
      </c>
      <c r="I89" s="1" t="n">
        <v>29</v>
      </c>
      <c r="J89" s="1" t="n">
        <v>18</v>
      </c>
      <c r="K89" s="1" t="n">
        <v>45</v>
      </c>
      <c r="L89" s="1" t="n">
        <v>4</v>
      </c>
      <c r="M89" s="1" t="n">
        <v>10</v>
      </c>
      <c r="S89" s="1" t="s">
        <v>30</v>
      </c>
      <c r="T89" s="2" t="s">
        <v>31</v>
      </c>
      <c r="U89" s="3" t="n">
        <f aca="false">617/24</f>
        <v>25.7083333333333</v>
      </c>
      <c r="V89" s="3" t="n">
        <f aca="false">46/24</f>
        <v>1.91666666666667</v>
      </c>
      <c r="W89" s="2"/>
      <c r="X89" s="2"/>
      <c r="Z89" s="1" t="s">
        <v>32</v>
      </c>
    </row>
    <row r="90" customFormat="false" ht="15" hidden="false" customHeight="true" outlineLevel="0" collapsed="false">
      <c r="A90" s="1" t="s">
        <v>124</v>
      </c>
      <c r="B90" s="1" t="s">
        <v>123</v>
      </c>
      <c r="C90" s="1" t="s">
        <v>80</v>
      </c>
      <c r="F90" s="1" t="n">
        <f aca="false">6/12</f>
        <v>0.5</v>
      </c>
      <c r="H90" s="1" t="n">
        <f aca="false">4/12</f>
        <v>0.333333333333333</v>
      </c>
      <c r="I90" s="1" t="n">
        <f aca="false">11/12</f>
        <v>0.916666666666667</v>
      </c>
      <c r="L90" s="1" t="n">
        <v>8</v>
      </c>
      <c r="M90" s="1" t="n">
        <v>0.25</v>
      </c>
      <c r="S90" s="1" t="s">
        <v>125</v>
      </c>
      <c r="T90" s="1" t="s">
        <v>126</v>
      </c>
      <c r="Z90" s="1" t="s">
        <v>32</v>
      </c>
      <c r="AA90" s="1" t="s">
        <v>127</v>
      </c>
    </row>
    <row r="91" customFormat="false" ht="15" hidden="false" customHeight="true" outlineLevel="0" collapsed="false">
      <c r="A91" s="1" t="s">
        <v>124</v>
      </c>
      <c r="B91" s="1" t="s">
        <v>123</v>
      </c>
      <c r="C91" s="1" t="s">
        <v>80</v>
      </c>
      <c r="F91" s="1" t="n">
        <f aca="false">9.8/12</f>
        <v>0.816666666666667</v>
      </c>
      <c r="H91" s="1" t="n">
        <f aca="false">0.75/12</f>
        <v>0.0625</v>
      </c>
      <c r="I91" s="1" t="n">
        <f aca="false">30/12</f>
        <v>2.5</v>
      </c>
      <c r="L91" s="1" t="n">
        <v>11</v>
      </c>
      <c r="M91" s="1" t="n">
        <v>1.25</v>
      </c>
      <c r="S91" s="1" t="s">
        <v>125</v>
      </c>
      <c r="T91" s="1" t="s">
        <v>126</v>
      </c>
      <c r="Z91" s="1" t="s">
        <v>32</v>
      </c>
    </row>
    <row r="92" customFormat="false" ht="15" hidden="false" customHeight="true" outlineLevel="0" collapsed="false">
      <c r="A92" s="1" t="s">
        <v>124</v>
      </c>
      <c r="B92" s="1" t="s">
        <v>123</v>
      </c>
      <c r="C92" s="1" t="s">
        <v>80</v>
      </c>
      <c r="F92" s="1" t="n">
        <f aca="false">9.8/12</f>
        <v>0.816666666666667</v>
      </c>
      <c r="H92" s="1" t="n">
        <f aca="false">0.25/12</f>
        <v>0.0208333333333333</v>
      </c>
      <c r="I92" s="1" t="n">
        <f aca="false">33/12</f>
        <v>2.75</v>
      </c>
      <c r="L92" s="1" t="n">
        <v>11</v>
      </c>
      <c r="M92" s="1" t="n">
        <v>5</v>
      </c>
      <c r="S92" s="1" t="s">
        <v>125</v>
      </c>
      <c r="T92" s="1" t="s">
        <v>126</v>
      </c>
      <c r="Z92" s="1" t="s">
        <v>32</v>
      </c>
    </row>
    <row r="93" customFormat="false" ht="15" hidden="false" customHeight="true" outlineLevel="0" collapsed="false">
      <c r="A93" s="1" t="s">
        <v>124</v>
      </c>
      <c r="B93" s="1" t="s">
        <v>123</v>
      </c>
      <c r="C93" s="1" t="s">
        <v>80</v>
      </c>
      <c r="F93" s="1" t="n">
        <f aca="false">5.4/12</f>
        <v>0.45</v>
      </c>
      <c r="H93" s="1" t="n">
        <f aca="false">0.75/12</f>
        <v>0.0625</v>
      </c>
      <c r="I93" s="1" t="n">
        <f aca="false">13/12</f>
        <v>1.08333333333333</v>
      </c>
      <c r="L93" s="1" t="n">
        <v>13</v>
      </c>
      <c r="M93" s="1" t="n">
        <v>10</v>
      </c>
      <c r="S93" s="1" t="s">
        <v>125</v>
      </c>
      <c r="T93" s="1" t="s">
        <v>126</v>
      </c>
      <c r="Z93" s="1" t="s">
        <v>32</v>
      </c>
    </row>
    <row r="95" customFormat="false" ht="15" hidden="false" customHeight="true" outlineLevel="0" collapsed="false">
      <c r="Z95" s="1" t="s">
        <v>32</v>
      </c>
    </row>
    <row r="96" customFormat="false" ht="15" hidden="false" customHeight="true" outlineLevel="0" collapsed="false">
      <c r="A96" s="1" t="s">
        <v>128</v>
      </c>
      <c r="B96" s="2" t="s">
        <v>129</v>
      </c>
      <c r="C96" s="1" t="s">
        <v>130</v>
      </c>
      <c r="H96" s="1" t="n">
        <v>20</v>
      </c>
      <c r="I96" s="1" t="n">
        <v>52</v>
      </c>
      <c r="N96" s="1" t="n">
        <v>250</v>
      </c>
      <c r="S96" s="1" t="s">
        <v>30</v>
      </c>
      <c r="T96" s="1" t="s">
        <v>31</v>
      </c>
      <c r="U96" s="1" t="n">
        <v>18.5</v>
      </c>
      <c r="V96" s="1" t="n">
        <v>2.3</v>
      </c>
      <c r="W96" s="1" t="n">
        <v>1557</v>
      </c>
      <c r="X96" s="1" t="n">
        <v>250</v>
      </c>
      <c r="Z96" s="1" t="s">
        <v>32</v>
      </c>
      <c r="AA96" s="1" t="s">
        <v>131</v>
      </c>
    </row>
    <row r="97" customFormat="false" ht="15" hidden="false" customHeight="true" outlineLevel="0" collapsed="false">
      <c r="A97" s="1" t="s">
        <v>128</v>
      </c>
      <c r="B97" s="2" t="s">
        <v>129</v>
      </c>
      <c r="C97" s="1" t="s">
        <v>130</v>
      </c>
      <c r="H97" s="1" t="n">
        <v>20</v>
      </c>
      <c r="I97" s="1" t="n">
        <v>52</v>
      </c>
      <c r="N97" s="1" t="n">
        <v>250</v>
      </c>
      <c r="S97" s="1" t="s">
        <v>132</v>
      </c>
      <c r="T97" s="1" t="s">
        <v>31</v>
      </c>
      <c r="U97" s="1" t="n">
        <v>20.4</v>
      </c>
      <c r="V97" s="1" t="n">
        <v>2.6</v>
      </c>
      <c r="W97" s="1" t="n">
        <v>1238</v>
      </c>
      <c r="X97" s="1" t="n">
        <v>228</v>
      </c>
      <c r="Z97" s="1" t="s">
        <v>32</v>
      </c>
      <c r="AA97" s="1" t="s">
        <v>131</v>
      </c>
    </row>
    <row r="98" customFormat="false" ht="15" hidden="false" customHeight="true" outlineLevel="0" collapsed="false">
      <c r="A98" s="1" t="s">
        <v>128</v>
      </c>
      <c r="B98" s="2" t="s">
        <v>129</v>
      </c>
      <c r="C98" s="1" t="s">
        <v>130</v>
      </c>
      <c r="H98" s="1" t="n">
        <v>20</v>
      </c>
      <c r="I98" s="1" t="n">
        <v>52</v>
      </c>
      <c r="N98" s="1" t="n">
        <v>250</v>
      </c>
      <c r="S98" s="1" t="s">
        <v>133</v>
      </c>
      <c r="T98" s="1" t="s">
        <v>31</v>
      </c>
      <c r="U98" s="1" t="n">
        <v>17.9</v>
      </c>
      <c r="V98" s="1" t="n">
        <v>3.3</v>
      </c>
      <c r="W98" s="2" t="n">
        <v>1110</v>
      </c>
      <c r="X98" s="1" t="n">
        <v>372</v>
      </c>
      <c r="Z98" s="1" t="s">
        <v>32</v>
      </c>
      <c r="AA98" s="1" t="s">
        <v>131</v>
      </c>
    </row>
    <row r="99" customFormat="false" ht="15" hidden="false" customHeight="true" outlineLevel="0" collapsed="false">
      <c r="A99" s="1" t="s">
        <v>134</v>
      </c>
      <c r="B99" s="1" t="s">
        <v>129</v>
      </c>
      <c r="C99" s="1" t="s">
        <v>130</v>
      </c>
      <c r="F99" s="1" t="n">
        <v>10</v>
      </c>
      <c r="G99" s="1" t="n">
        <v>1.3</v>
      </c>
      <c r="J99" s="1" t="n">
        <v>6</v>
      </c>
      <c r="K99" s="1" t="n">
        <v>11</v>
      </c>
      <c r="N99" s="1" t="n">
        <v>100</v>
      </c>
      <c r="P99" s="1" t="n">
        <v>50</v>
      </c>
      <c r="S99" s="1" t="s">
        <v>108</v>
      </c>
      <c r="T99" s="1" t="s">
        <v>135</v>
      </c>
      <c r="U99" s="1" t="n">
        <v>21.8</v>
      </c>
      <c r="W99" s="1" t="n">
        <v>672.2</v>
      </c>
      <c r="Z99" s="1" t="s">
        <v>32</v>
      </c>
      <c r="AA99" s="1" t="s">
        <v>136</v>
      </c>
    </row>
    <row r="100" customFormat="false" ht="15" hidden="false" customHeight="true" outlineLevel="0" collapsed="false">
      <c r="A100" s="1" t="s">
        <v>134</v>
      </c>
      <c r="B100" s="1" t="s">
        <v>129</v>
      </c>
      <c r="C100" s="1" t="s">
        <v>130</v>
      </c>
      <c r="F100" s="1" t="n">
        <v>8</v>
      </c>
      <c r="G100" s="1" t="n">
        <v>1.8</v>
      </c>
      <c r="J100" s="1" t="n">
        <v>6</v>
      </c>
      <c r="K100" s="1" t="n">
        <v>11</v>
      </c>
      <c r="N100" s="1" t="n">
        <v>40</v>
      </c>
      <c r="P100" s="1" t="n">
        <v>27</v>
      </c>
      <c r="S100" s="1" t="s">
        <v>108</v>
      </c>
      <c r="T100" s="1" t="s">
        <v>137</v>
      </c>
      <c r="U100" s="1" t="n">
        <v>23.6</v>
      </c>
      <c r="W100" s="1" t="n">
        <v>454.4</v>
      </c>
      <c r="Z100" s="1" t="s">
        <v>32</v>
      </c>
      <c r="AA100" s="1" t="s">
        <v>136</v>
      </c>
    </row>
    <row r="104" customFormat="false" ht="15" hidden="false" customHeight="true" outlineLevel="0" collapsed="false">
      <c r="A104" s="1" t="s">
        <v>138</v>
      </c>
      <c r="B104" s="1" t="s">
        <v>139</v>
      </c>
      <c r="C104" s="1" t="s">
        <v>80</v>
      </c>
      <c r="F104" s="1" t="s">
        <v>140</v>
      </c>
      <c r="S104" s="1" t="s">
        <v>125</v>
      </c>
      <c r="Z104" s="1" t="s">
        <v>32</v>
      </c>
    </row>
    <row r="105" customFormat="false" ht="15" hidden="false" customHeight="true" outlineLevel="0" collapsed="false">
      <c r="A105" s="1" t="s">
        <v>141</v>
      </c>
      <c r="B105" s="1" t="s">
        <v>139</v>
      </c>
      <c r="C105" s="1" t="s">
        <v>80</v>
      </c>
      <c r="F105" s="1" t="s">
        <v>142</v>
      </c>
      <c r="S105" s="1" t="s">
        <v>125</v>
      </c>
      <c r="Z105" s="1" t="s">
        <v>32</v>
      </c>
    </row>
    <row r="106" customFormat="false" ht="15" hidden="false" customHeight="true" outlineLevel="0" collapsed="false">
      <c r="A106" s="1" t="s">
        <v>143</v>
      </c>
      <c r="B106" s="1" t="s">
        <v>139</v>
      </c>
      <c r="C106" s="1" t="s">
        <v>80</v>
      </c>
      <c r="F106" s="1" t="s">
        <v>144</v>
      </c>
      <c r="S106" s="1" t="s">
        <v>125</v>
      </c>
      <c r="Z106" s="1" t="s">
        <v>32</v>
      </c>
    </row>
    <row r="107" customFormat="false" ht="15" hidden="false" customHeight="true" outlineLevel="0" collapsed="false">
      <c r="A107" s="1" t="s">
        <v>145</v>
      </c>
      <c r="B107" s="1" t="s">
        <v>139</v>
      </c>
      <c r="C107" s="1" t="s">
        <v>80</v>
      </c>
      <c r="F107" s="1" t="s">
        <v>146</v>
      </c>
      <c r="S107" s="1" t="s">
        <v>147</v>
      </c>
      <c r="Z107" s="1" t="s">
        <v>32</v>
      </c>
    </row>
    <row r="109" customFormat="false" ht="15" hidden="false" customHeight="true" outlineLevel="0" collapsed="false">
      <c r="Z109" s="0"/>
    </row>
    <row r="110" customFormat="false" ht="15" hidden="false" customHeight="true" outlineLevel="0" collapsed="false">
      <c r="A110" s="1" t="s">
        <v>148</v>
      </c>
      <c r="B110" s="1" t="s">
        <v>149</v>
      </c>
      <c r="C110" s="1" t="s">
        <v>150</v>
      </c>
      <c r="F110" s="1" t="n">
        <v>26.9</v>
      </c>
      <c r="G110" s="1" t="n">
        <v>6.47</v>
      </c>
      <c r="J110" s="1" t="n">
        <v>18</v>
      </c>
      <c r="K110" s="1" t="n">
        <v>45</v>
      </c>
      <c r="L110" s="1" t="n">
        <v>74</v>
      </c>
      <c r="N110" s="1" t="n">
        <v>300</v>
      </c>
      <c r="P110" s="1" t="n">
        <v>71.76</v>
      </c>
      <c r="S110" s="1" t="s">
        <v>30</v>
      </c>
      <c r="T110" s="4" t="s">
        <v>31</v>
      </c>
      <c r="U110" s="1" t="n">
        <f aca="false">189/24</f>
        <v>7.875</v>
      </c>
      <c r="V110" s="1" t="n">
        <f aca="false">22.4/24</f>
        <v>0.933333333333333</v>
      </c>
      <c r="W110" s="1" t="n">
        <f aca="false">18921.1/24</f>
        <v>788.379166666667</v>
      </c>
      <c r="Z110" s="1" t="s">
        <v>151</v>
      </c>
      <c r="AA110" s="1" t="s">
        <v>152</v>
      </c>
    </row>
    <row r="111" customFormat="false" ht="15" hidden="false" customHeight="true" outlineLevel="0" collapsed="false">
      <c r="A111" s="1" t="s">
        <v>153</v>
      </c>
      <c r="B111" s="1" t="s">
        <v>149</v>
      </c>
      <c r="C111" s="1" t="s">
        <v>150</v>
      </c>
      <c r="S111" s="1" t="s">
        <v>30</v>
      </c>
      <c r="T111" s="1" t="s">
        <v>154</v>
      </c>
      <c r="Z111" s="1" t="s">
        <v>151</v>
      </c>
      <c r="AA111" s="1" t="s">
        <v>155</v>
      </c>
    </row>
    <row r="112" customFormat="false" ht="15" hidden="false" customHeight="true" outlineLevel="0" collapsed="false">
      <c r="A112" s="1" t="s">
        <v>156</v>
      </c>
      <c r="B112" s="1" t="s">
        <v>149</v>
      </c>
      <c r="C112" s="1" t="s">
        <v>150</v>
      </c>
      <c r="H112" s="1" t="n">
        <v>2.4</v>
      </c>
      <c r="I112" s="1" t="n">
        <v>10.9</v>
      </c>
      <c r="L112" s="1" t="n">
        <v>6</v>
      </c>
      <c r="S112" s="1" t="s">
        <v>30</v>
      </c>
      <c r="T112" s="1" t="s">
        <v>157</v>
      </c>
      <c r="Z112" s="1" t="s">
        <v>151</v>
      </c>
      <c r="AA112" s="1" t="s">
        <v>158</v>
      </c>
    </row>
    <row r="113" customFormat="false" ht="15" hidden="false" customHeight="true" outlineLevel="0" collapsed="false">
      <c r="A113" s="1" t="s">
        <v>159</v>
      </c>
      <c r="B113" s="1" t="s">
        <v>149</v>
      </c>
      <c r="C113" s="1" t="s">
        <v>150</v>
      </c>
      <c r="S113" s="1" t="s">
        <v>30</v>
      </c>
      <c r="T113" s="1" t="s">
        <v>160</v>
      </c>
      <c r="Z113" s="1" t="s">
        <v>151</v>
      </c>
    </row>
    <row r="123" customFormat="false" ht="15" hidden="false" customHeight="true" outlineLevel="0" collapsed="false">
      <c r="A123" s="1" t="s">
        <v>161</v>
      </c>
      <c r="B123" s="1" t="s">
        <v>162</v>
      </c>
      <c r="C123" s="1" t="s">
        <v>163</v>
      </c>
      <c r="S123" s="1" t="s">
        <v>30</v>
      </c>
      <c r="Z123" s="1" t="s">
        <v>151</v>
      </c>
    </row>
    <row r="124" customFormat="false" ht="15" hidden="false" customHeight="true" outlineLevel="0" collapsed="false">
      <c r="A124" s="1" t="s">
        <v>164</v>
      </c>
      <c r="B124" s="1" t="s">
        <v>162</v>
      </c>
      <c r="C124" s="1" t="s">
        <v>163</v>
      </c>
      <c r="S124" s="1" t="s">
        <v>30</v>
      </c>
      <c r="Z124" s="1" t="s">
        <v>151</v>
      </c>
    </row>
    <row r="130" customFormat="false" ht="15" hidden="false" customHeight="true" outlineLevel="0" collapsed="false">
      <c r="A130" s="1" t="s">
        <v>165</v>
      </c>
      <c r="B130" s="1" t="s">
        <v>166</v>
      </c>
      <c r="C130" s="1" t="s">
        <v>167</v>
      </c>
      <c r="S130" s="1" t="s">
        <v>108</v>
      </c>
      <c r="Z130" s="1" t="s">
        <v>32</v>
      </c>
    </row>
    <row r="131" customFormat="false" ht="15" hidden="false" customHeight="true" outlineLevel="0" collapsed="false">
      <c r="A131" s="1" t="s">
        <v>168</v>
      </c>
      <c r="B131" s="1" t="s">
        <v>166</v>
      </c>
      <c r="C131" s="1" t="s">
        <v>167</v>
      </c>
      <c r="S131" s="1" t="s">
        <v>108</v>
      </c>
      <c r="Z131" s="1" t="s">
        <v>32</v>
      </c>
    </row>
    <row r="133" customFormat="false" ht="15" hidden="false" customHeight="true" outlineLevel="0" collapsed="false">
      <c r="A133" s="1" t="s">
        <v>169</v>
      </c>
      <c r="B133" s="1" t="s">
        <v>170</v>
      </c>
      <c r="C133" s="1" t="s">
        <v>171</v>
      </c>
      <c r="S133" s="1" t="s">
        <v>108</v>
      </c>
      <c r="Z133" s="1" t="s">
        <v>151</v>
      </c>
    </row>
    <row r="134" customFormat="false" ht="15" hidden="false" customHeight="true" outlineLevel="0" collapsed="false">
      <c r="A134" s="1" t="s">
        <v>172</v>
      </c>
      <c r="B134" s="1" t="s">
        <v>170</v>
      </c>
      <c r="C134" s="1" t="s">
        <v>171</v>
      </c>
      <c r="S134" s="1" t="s">
        <v>108</v>
      </c>
      <c r="Z134" s="1" t="s">
        <v>151</v>
      </c>
    </row>
    <row r="136" customFormat="false" ht="15" hidden="false" customHeight="true" outlineLevel="0" collapsed="false">
      <c r="A136" s="1" t="s">
        <v>173</v>
      </c>
      <c r="B136" s="1" t="s">
        <v>174</v>
      </c>
      <c r="C136" s="1" t="s">
        <v>175</v>
      </c>
      <c r="S136" s="1" t="s">
        <v>108</v>
      </c>
      <c r="Z136" s="1" t="s">
        <v>151</v>
      </c>
      <c r="AA136" s="1" t="s">
        <v>176</v>
      </c>
    </row>
    <row r="137" customFormat="false" ht="15" hidden="false" customHeight="true" outlineLevel="0" collapsed="false">
      <c r="A137" s="1" t="s">
        <v>177</v>
      </c>
      <c r="B137" s="1" t="s">
        <v>174</v>
      </c>
      <c r="C137" s="1" t="s">
        <v>175</v>
      </c>
      <c r="S137" s="1" t="s">
        <v>108</v>
      </c>
      <c r="Z137" s="1" t="s">
        <v>151</v>
      </c>
      <c r="AA137" s="1" t="s">
        <v>176</v>
      </c>
    </row>
    <row r="139" customFormat="false" ht="15" hidden="false" customHeight="true" outlineLevel="0" collapsed="false">
      <c r="A139" s="1" t="s">
        <v>178</v>
      </c>
      <c r="B139" s="1" t="s">
        <v>179</v>
      </c>
      <c r="C139" s="1" t="s">
        <v>180</v>
      </c>
      <c r="S139" s="1" t="s">
        <v>30</v>
      </c>
      <c r="Z139" s="1" t="s">
        <v>151</v>
      </c>
    </row>
    <row r="140" customFormat="false" ht="15" hidden="false" customHeight="true" outlineLevel="0" collapsed="false">
      <c r="A140" s="1" t="s">
        <v>181</v>
      </c>
      <c r="B140" s="1" t="s">
        <v>179</v>
      </c>
      <c r="C140" s="1" t="s">
        <v>180</v>
      </c>
      <c r="S140" s="1" t="s">
        <v>30</v>
      </c>
      <c r="Z140" s="1" t="s">
        <v>151</v>
      </c>
    </row>
    <row r="142" customFormat="false" ht="15" hidden="false" customHeight="true" outlineLevel="0" collapsed="false">
      <c r="A142" s="1" t="s">
        <v>148</v>
      </c>
      <c r="B142" s="1" t="s">
        <v>182</v>
      </c>
      <c r="C142" s="1" t="s">
        <v>183</v>
      </c>
      <c r="F142" s="1" t="n">
        <v>26.3</v>
      </c>
      <c r="H142" s="1" t="n">
        <v>18</v>
      </c>
      <c r="I142" s="1" t="n">
        <v>43</v>
      </c>
      <c r="M142" s="1" t="n">
        <v>5</v>
      </c>
      <c r="S142" s="1" t="s">
        <v>30</v>
      </c>
      <c r="T142" s="1" t="s">
        <v>31</v>
      </c>
      <c r="U142" s="1" t="n">
        <f aca="false">372.9/24</f>
        <v>15.5375</v>
      </c>
      <c r="V142" s="1" t="n">
        <f aca="false">88.94/24</f>
        <v>3.70583333333333</v>
      </c>
      <c r="W142" s="1" t="n">
        <f aca="false">37016.1/24</f>
        <v>1542.3375</v>
      </c>
      <c r="X142" s="1" t="n">
        <f aca="false">10016/24</f>
        <v>417.333333333333</v>
      </c>
      <c r="Z142" s="1" t="s">
        <v>151</v>
      </c>
      <c r="AA142" s="1" t="s">
        <v>184</v>
      </c>
    </row>
    <row r="143" customFormat="false" ht="15" hidden="false" customHeight="true" outlineLevel="0" collapsed="false">
      <c r="A143" s="1" t="s">
        <v>185</v>
      </c>
      <c r="B143" s="1" t="s">
        <v>182</v>
      </c>
      <c r="C143" s="1" t="s">
        <v>183</v>
      </c>
      <c r="S143" s="1" t="s">
        <v>30</v>
      </c>
      <c r="T143" s="1" t="s">
        <v>186</v>
      </c>
      <c r="Z143" s="1" t="s">
        <v>151</v>
      </c>
    </row>
    <row r="144" customFormat="false" ht="15" hidden="false" customHeight="true" outlineLevel="0" collapsed="false">
      <c r="A144" s="1" t="s">
        <v>187</v>
      </c>
      <c r="B144" s="1" t="s">
        <v>182</v>
      </c>
      <c r="C144" s="1" t="s">
        <v>183</v>
      </c>
      <c r="S144" s="1" t="s">
        <v>30</v>
      </c>
      <c r="Z144" s="1" t="s">
        <v>151</v>
      </c>
    </row>
    <row r="145" customFormat="false" ht="15" hidden="false" customHeight="true" outlineLevel="0" collapsed="false">
      <c r="A145" s="1" t="s">
        <v>188</v>
      </c>
      <c r="B145" s="1" t="s">
        <v>182</v>
      </c>
      <c r="C145" s="1" t="s">
        <v>183</v>
      </c>
      <c r="H145" s="1" t="n">
        <f aca="false">2.4/12</f>
        <v>0.2</v>
      </c>
      <c r="I145" s="1" t="n">
        <v>0.99</v>
      </c>
      <c r="M145" s="1" t="n">
        <v>5</v>
      </c>
      <c r="S145" s="1" t="s">
        <v>30</v>
      </c>
      <c r="T145" s="1" t="s">
        <v>189</v>
      </c>
      <c r="U145" s="1" t="n">
        <v>5.1</v>
      </c>
      <c r="W145" s="1" t="n">
        <v>547</v>
      </c>
      <c r="Z145" s="1" t="s">
        <v>151</v>
      </c>
      <c r="AA145" s="1" t="s">
        <v>190</v>
      </c>
    </row>
    <row r="146" customFormat="false" ht="15" hidden="false" customHeight="true" outlineLevel="0" collapsed="false">
      <c r="A146" s="1" t="s">
        <v>188</v>
      </c>
      <c r="B146" s="1" t="s">
        <v>182</v>
      </c>
      <c r="C146" s="1" t="s">
        <v>183</v>
      </c>
      <c r="H146" s="1" t="n">
        <v>1</v>
      </c>
      <c r="I146" s="1" t="n">
        <f aca="false">75/12</f>
        <v>6.25</v>
      </c>
      <c r="M146" s="1" t="n">
        <v>5</v>
      </c>
      <c r="S146" s="4" t="s">
        <v>30</v>
      </c>
      <c r="T146" s="1" t="s">
        <v>191</v>
      </c>
      <c r="U146" s="1" t="n">
        <v>7.3</v>
      </c>
      <c r="W146" s="1" t="n">
        <v>746</v>
      </c>
      <c r="Z146" s="1" t="s">
        <v>151</v>
      </c>
      <c r="AA146" s="1" t="s">
        <v>190</v>
      </c>
    </row>
    <row r="147" customFormat="false" ht="15" hidden="false" customHeight="true" outlineLevel="0" collapsed="false">
      <c r="A147" s="1" t="s">
        <v>192</v>
      </c>
      <c r="B147" s="1" t="s">
        <v>182</v>
      </c>
      <c r="C147" s="1" t="s">
        <v>183</v>
      </c>
      <c r="F147" s="1" t="n">
        <v>11.6</v>
      </c>
      <c r="G147" s="1" t="n">
        <v>4</v>
      </c>
      <c r="J147" s="1" t="n">
        <v>4</v>
      </c>
      <c r="K147" s="1" t="n">
        <v>17.99</v>
      </c>
      <c r="M147" s="1" t="n">
        <v>6</v>
      </c>
      <c r="S147" s="1" t="s">
        <v>30</v>
      </c>
      <c r="T147" s="1" t="s">
        <v>193</v>
      </c>
      <c r="U147" s="1" t="n">
        <v>9.5</v>
      </c>
      <c r="Z147" s="1" t="s">
        <v>151</v>
      </c>
    </row>
    <row r="148" customFormat="false" ht="15" hidden="false" customHeight="true" outlineLevel="0" collapsed="false">
      <c r="A148" s="1" t="s">
        <v>192</v>
      </c>
      <c r="B148" s="1" t="s">
        <v>182</v>
      </c>
      <c r="C148" s="1" t="s">
        <v>183</v>
      </c>
      <c r="F148" s="1" t="n">
        <v>11.3</v>
      </c>
      <c r="G148" s="1" t="n">
        <v>4</v>
      </c>
      <c r="J148" s="1" t="n">
        <v>4</v>
      </c>
      <c r="K148" s="1" t="n">
        <v>17.99</v>
      </c>
      <c r="M148" s="1" t="n">
        <v>3</v>
      </c>
      <c r="S148" s="1" t="s">
        <v>30</v>
      </c>
      <c r="T148" s="1" t="s">
        <v>193</v>
      </c>
      <c r="U148" s="1" t="n">
        <v>6.9</v>
      </c>
    </row>
    <row r="157" customFormat="false" ht="15" hidden="false" customHeight="true" outlineLevel="0" collapsed="false">
      <c r="A157" s="1" t="s">
        <v>194</v>
      </c>
      <c r="B157" s="1" t="s">
        <v>195</v>
      </c>
      <c r="C157" s="1" t="s">
        <v>196</v>
      </c>
      <c r="S157" s="1" t="s">
        <v>30</v>
      </c>
    </row>
    <row r="158" customFormat="false" ht="15" hidden="false" customHeight="true" outlineLevel="0" collapsed="false">
      <c r="A158" s="2" t="s">
        <v>197</v>
      </c>
      <c r="B158" s="1" t="s">
        <v>195</v>
      </c>
      <c r="C158" s="1" t="s">
        <v>196</v>
      </c>
      <c r="S158" s="1" t="s">
        <v>30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1120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2024-12-11T12:40:08Z</dcterms:created>
  <dc:creator>Christoph Niederalt</dc:creator>
  <dc:description/>
  <dc:language>en-US</dc:language>
  <cp:lastModifiedBy/>
  <dcterms:modified xsi:type="dcterms:W3CDTF">2026-08-24T15:34:27Z</dcterms:modified>
  <cp:revision>90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0x0101005CD2054D3ABF484F92E543C89E08819E</vt:lpwstr>
  </property>
  <property fmtid="{D5CDD505-2E9C-101B-9397-08002B2CF9AE}" pid="3" name="MSIP_Label_7f850223-87a8-40c3-9eb2-432606efca2a_ActionId">
    <vt:lpwstr>108007ec-66e0-4ed6-b15e-68fd92b99f38</vt:lpwstr>
  </property>
  <property fmtid="{D5CDD505-2E9C-101B-9397-08002B2CF9AE}" pid="4" name="MSIP_Label_7f850223-87a8-40c3-9eb2-432606efca2a_ContentBits">
    <vt:lpwstr>0</vt:lpwstr>
  </property>
  <property fmtid="{D5CDD505-2E9C-101B-9397-08002B2CF9AE}" pid="5" name="MSIP_Label_7f850223-87a8-40c3-9eb2-432606efca2a_Enabled">
    <vt:lpwstr>true</vt:lpwstr>
  </property>
  <property fmtid="{D5CDD505-2E9C-101B-9397-08002B2CF9AE}" pid="6" name="MSIP_Label_7f850223-87a8-40c3-9eb2-432606efca2a_Method">
    <vt:lpwstr>Standard</vt:lpwstr>
  </property>
  <property fmtid="{D5CDD505-2E9C-101B-9397-08002B2CF9AE}" pid="7" name="MSIP_Label_7f850223-87a8-40c3-9eb2-432606efca2a_Name">
    <vt:lpwstr>7f850223-87a8-40c3-9eb2-432606efca2a</vt:lpwstr>
  </property>
  <property fmtid="{D5CDD505-2E9C-101B-9397-08002B2CF9AE}" pid="8" name="MSIP_Label_7f850223-87a8-40c3-9eb2-432606efca2a_SetDate">
    <vt:lpwstr>2024-12-11T12:40:16Z</vt:lpwstr>
  </property>
  <property fmtid="{D5CDD505-2E9C-101B-9397-08002B2CF9AE}" pid="9" name="MSIP_Label_7f850223-87a8-40c3-9eb2-432606efca2a_SiteId">
    <vt:lpwstr>fcb2b37b-5da0-466b-9b83-0014b67a7c78</vt:lpwstr>
  </property>
  <property fmtid="{D5CDD505-2E9C-101B-9397-08002B2CF9AE}" pid="10" name="MediaServiceImageTags">
    <vt:lpwstr/>
  </property>
</Properties>
</file>