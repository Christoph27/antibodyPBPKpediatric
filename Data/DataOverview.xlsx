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<sst xmlns="http://schemas.openxmlformats.org/spreadsheetml/2006/main" count="359" uniqueCount="147">
  <si>
    <t xml:space="preserve">studyID</t>
  </si>
  <si>
    <t xml:space="preserve">Drug</t>
  </si>
  <si>
    <t xml:space="preserve">Target</t>
  </si>
  <si>
    <t xml:space="preserve">gestational age [wks]</t>
  </si>
  <si>
    <t xml:space="preserve">gestational age SD [wks]</t>
  </si>
  <si>
    <t xml:space="preserve">mean age/typical age [yrs]</t>
  </si>
  <si>
    <t xml:space="preserve">age SD [yrs]</t>
  </si>
  <si>
    <t xml:space="preserve">age range min [yrs]</t>
  </si>
  <si>
    <t xml:space="preserve">age range max [yrs]</t>
  </si>
  <si>
    <t xml:space="preserve">age inclusion criterion min [yrs]</t>
  </si>
  <si>
    <t xml:space="preserve">age inclusion criterion max [yrs]</t>
  </si>
  <si>
    <t xml:space="preserve">number ind.</t>
  </si>
  <si>
    <t xml:space="preserve">Ab dose [mg/kg ]</t>
  </si>
  <si>
    <t xml:space="preserve">Ab dose [mg ]</t>
  </si>
  <si>
    <t xml:space="preserve">Body weight [kg]</t>
  </si>
  <si>
    <t xml:space="preserve">Route</t>
  </si>
  <si>
    <t xml:space="preserve">population</t>
  </si>
  <si>
    <t xml:space="preserve">half-life [days]</t>
  </si>
  <si>
    <t xml:space="preserve">half-life SD [days]</t>
  </si>
  <si>
    <t xml:space="preserve">AUCinf [µg day/ml]]</t>
  </si>
  <si>
    <t xml:space="preserve">AUCinf SD [µg day/ml]]</t>
  </si>
  <si>
    <t xml:space="preserve">individual data reported</t>
  </si>
  <si>
    <t xml:space="preserve">comment</t>
  </si>
  <si>
    <t xml:space="preserve">Lopez2010</t>
  </si>
  <si>
    <t xml:space="preserve">Urtoxazumab</t>
  </si>
  <si>
    <t xml:space="preserve">Shiga-like toxin</t>
  </si>
  <si>
    <t xml:space="preserve">IV</t>
  </si>
  <si>
    <t xml:space="preserve">healthy adults</t>
  </si>
  <si>
    <t xml:space="preserve">STEC-infected children</t>
  </si>
  <si>
    <t xml:space="preserve">Weisman2009_adults</t>
  </si>
  <si>
    <t xml:space="preserve">Pagibaximab</t>
  </si>
  <si>
    <t xml:space="preserve">LTA (staphylococci)</t>
  </si>
  <si>
    <t xml:space="preserve">also endogenous ant-LTA antibody included in measurements!</t>
  </si>
  <si>
    <t xml:space="preserve">Weisman2009</t>
  </si>
  <si>
    <t xml:space="preserve">Very-Low-Birth-Weight Neonates</t>
  </si>
  <si>
    <t xml:space="preserve">Weisman2011</t>
  </si>
  <si>
    <t xml:space="preserve">Herbst2014</t>
  </si>
  <si>
    <t xml:space="preserve">Atezolizumab</t>
  </si>
  <si>
    <t xml:space="preserve">PD-L1</t>
  </si>
  <si>
    <t xml:space="preserve">adults data </t>
  </si>
  <si>
    <t xml:space="preserve">Georger2020</t>
  </si>
  <si>
    <t xml:space="preserve">tumor patients</t>
  </si>
  <si>
    <t xml:space="preserve">profiles for age groups</t>
  </si>
  <si>
    <t xml:space="preserve">Huang2022</t>
  </si>
  <si>
    <t xml:space="preserve">individual profiles; Age 16-2 yrs; Single profile/individual for each age; PBPK model (used in Fig.3 in Kumar2026); Stroh2017 (popPK) is cited</t>
  </si>
  <si>
    <t xml:space="preserve">Shemesh2019</t>
  </si>
  <si>
    <t xml:space="preserve">popPK study</t>
  </si>
  <si>
    <t xml:space="preserve">Heery2017</t>
  </si>
  <si>
    <t xml:space="preserve">Avelumab</t>
  </si>
  <si>
    <t xml:space="preserve">Vugmeyster2022</t>
  </si>
  <si>
    <t xml:space="preserve">individual data</t>
  </si>
  <si>
    <t xml:space="preserve">GladeBender2008</t>
  </si>
  <si>
    <t xml:space="preserve">Bevacizumab</t>
  </si>
  <si>
    <t xml:space="preserve">VEGF</t>
  </si>
  <si>
    <t xml:space="preserve">Wang2019</t>
  </si>
  <si>
    <t xml:space="preserve">Gordon2001</t>
  </si>
  <si>
    <t xml:space="preserve">Boeckh2001</t>
  </si>
  <si>
    <t xml:space="preserve">Palivizumab</t>
  </si>
  <si>
    <t xml:space="preserve">RSV fusion protein</t>
  </si>
  <si>
    <t xml:space="preserve">Subramanian1998</t>
  </si>
  <si>
    <t xml:space="preserve">SaezLlorens2004</t>
  </si>
  <si>
    <t xml:space="preserve">Chen2021</t>
  </si>
  <si>
    <t xml:space="preserve">Rituximab</t>
  </si>
  <si>
    <t xml:space="preserve">CD20</t>
  </si>
  <si>
    <t xml:space="preserve">Yonezawa2019</t>
  </si>
  <si>
    <t xml:space="preserve">Haridas2020</t>
  </si>
  <si>
    <t xml:space="preserve">Jiang2020</t>
  </si>
  <si>
    <t xml:space="preserve">Kamei2009</t>
  </si>
  <si>
    <t xml:space="preserve">Rosh2021</t>
  </si>
  <si>
    <t xml:space="preserve">Ustekinumab</t>
  </si>
  <si>
    <t xml:space="preserve">IL12/IL13</t>
  </si>
  <si>
    <t xml:space="preserve">Dimelow2021</t>
  </si>
  <si>
    <t xml:space="preserve">Belimumab</t>
  </si>
  <si>
    <t xml:space="preserve">BlyS</t>
  </si>
  <si>
    <t xml:space="preserve">Zhou2021</t>
  </si>
  <si>
    <t xml:space="preserve">Brummer2020</t>
  </si>
  <si>
    <t xml:space="preserve">BLA 761171, 11-009</t>
  </si>
  <si>
    <t xml:space="preserve">Naxitamab</t>
  </si>
  <si>
    <t xml:space="preserve">GD2</t>
  </si>
  <si>
    <r>
      <rPr>
        <sz val="11"/>
        <color theme="1"/>
        <rFont val="Aptos Narrow"/>
        <family val="2"/>
        <charset val="1"/>
      </rPr>
      <t xml:space="preserve">Observations adjusted using prediction correction from popPK; </t>
    </r>
    <r>
      <rPr>
        <sz val="11"/>
        <color rgb="FFC9211E"/>
        <rFont val="Aptos Narrow"/>
        <family val="2"/>
        <charset val="1"/>
      </rPr>
      <t xml:space="preserve">Age differences are probably lost!</t>
    </r>
    <r>
      <rPr>
        <sz val="11"/>
        <color theme="1"/>
        <rFont val="Aptos Narrow"/>
        <family val="2"/>
        <charset val="1"/>
      </rPr>
      <t xml:space="preserve"> Trial NCT01419834; Age-info: Table 19-4 in BLA761171</t>
    </r>
  </si>
  <si>
    <t xml:space="preserve">BLA 761171, 12-116</t>
  </si>
  <si>
    <r>
      <rPr>
        <sz val="11"/>
        <color theme="1"/>
        <rFont val="Aptos Narrow"/>
        <family val="2"/>
        <charset val="1"/>
      </rPr>
      <t xml:space="preserve">Observations adjusted using prediction correction from popPK;</t>
    </r>
    <r>
      <rPr>
        <sz val="11"/>
        <color rgb="FFC9211E"/>
        <rFont val="Aptos Narrow"/>
        <family val="2"/>
        <charset val="1"/>
      </rPr>
      <t xml:space="preserve"> Age differences are probably lost! </t>
    </r>
    <r>
      <rPr>
        <sz val="11"/>
        <color theme="1"/>
        <rFont val="Aptos Narrow"/>
        <family val="2"/>
        <charset val="1"/>
      </rPr>
      <t xml:space="preserve">Trial NCT01662804????; Age-info: Table 19-4 in BLA761171  </t>
    </r>
  </si>
  <si>
    <t xml:space="preserve">BLA 761171, 12-230</t>
  </si>
  <si>
    <r>
      <rPr>
        <sz val="11"/>
        <color theme="1"/>
        <rFont val="Aptos Narrow"/>
        <family val="2"/>
        <charset val="1"/>
      </rPr>
      <t xml:space="preserve">Observations adjusted using prediction correction from popPK; </t>
    </r>
    <r>
      <rPr>
        <sz val="11"/>
        <color rgb="FFC9211E"/>
        <rFont val="Aptos Narrow"/>
        <family val="2"/>
        <charset val="1"/>
      </rPr>
      <t xml:space="preserve">Age differences are probably lost!</t>
    </r>
    <r>
      <rPr>
        <sz val="11"/>
        <color theme="1"/>
        <rFont val="Aptos Narrow"/>
        <family val="2"/>
        <charset val="1"/>
      </rPr>
      <t xml:space="preserve"> Trial NCT01757626; Age-info: Table 19-4 in BLA761171</t>
    </r>
  </si>
  <si>
    <t xml:space="preserve">BLA 761171, 201</t>
  </si>
  <si>
    <r>
      <rPr>
        <sz val="11"/>
        <color theme="1"/>
        <rFont val="Aptos Narrow"/>
        <family val="2"/>
        <charset val="1"/>
      </rPr>
      <t xml:space="preserve">Observations adjusted using prediction correction from popPK; </t>
    </r>
    <r>
      <rPr>
        <sz val="11"/>
        <color rgb="FFC9211E"/>
        <rFont val="Aptos Narrow"/>
        <family val="2"/>
        <charset val="1"/>
      </rPr>
      <t xml:space="preserve">Age differences are probably lost!</t>
    </r>
    <r>
      <rPr>
        <sz val="11"/>
        <color theme="1"/>
        <rFont val="Aptos Narrow"/>
        <family val="2"/>
        <charset val="1"/>
      </rPr>
      <t xml:space="preserve"> Trial NCT03363373; Age-info: Table 19-4 in BLA761171</t>
    </r>
  </si>
  <si>
    <t xml:space="preserve">BLA 761171, 201, Cohort 1 FAS</t>
  </si>
  <si>
    <t xml:space="preserve">further Data: IM or SC (Non-IV) and or non linear</t>
  </si>
  <si>
    <t xml:space="preserve">Everitt1996</t>
  </si>
  <si>
    <t xml:space="preserve">SB 209763</t>
  </si>
  <si>
    <t xml:space="preserve">Meissner1999</t>
  </si>
  <si>
    <t xml:space="preserve">IM</t>
  </si>
  <si>
    <t xml:space="preserve">children, premature andOr BPD</t>
  </si>
  <si>
    <t xml:space="preserve">pediatric data: IM; adult data IV</t>
  </si>
  <si>
    <t xml:space="preserve">Domachowske2018</t>
  </si>
  <si>
    <t xml:space="preserve">Nirsevimab</t>
  </si>
  <si>
    <t xml:space="preserve">preterm infants with a gestational age of 32–35 weeks</t>
  </si>
  <si>
    <t xml:space="preserve">Griffin2020</t>
  </si>
  <si>
    <t xml:space="preserve">healthy infants who had been born preterm (29 weeks 0 days to 34 weeks 6 days of gestation)</t>
  </si>
  <si>
    <t xml:space="preserve">Hammit2022</t>
  </si>
  <si>
    <t xml:space="preserve">Gestational age of at least 35 weeks</t>
  </si>
  <si>
    <t xml:space="preserve">Griffin2017</t>
  </si>
  <si>
    <t xml:space="preserve">Adults</t>
  </si>
  <si>
    <t xml:space="preserve">IV &amp; IM</t>
  </si>
  <si>
    <t xml:space="preserve">Chow2020</t>
  </si>
  <si>
    <t xml:space="preserve">Eculizumab</t>
  </si>
  <si>
    <t xml:space="preserve">C5</t>
  </si>
  <si>
    <t xml:space="preserve">Gatault2015</t>
  </si>
  <si>
    <t xml:space="preserve">Jodele2014</t>
  </si>
  <si>
    <t xml:space="preserve"> PeffaultdeLatour2020</t>
  </si>
  <si>
    <t xml:space="preserve">Smith2011</t>
  </si>
  <si>
    <t xml:space="preserve">Mepolizumab</t>
  </si>
  <si>
    <t xml:space="preserve">IL-5</t>
  </si>
  <si>
    <t xml:space="preserve">SC</t>
  </si>
  <si>
    <t xml:space="preserve">Gupta2019</t>
  </si>
  <si>
    <t xml:space="preserve">6-11</t>
  </si>
  <si>
    <t xml:space="preserve">Nagai2010</t>
  </si>
  <si>
    <t xml:space="preserve">Basiliximab</t>
  </si>
  <si>
    <t xml:space="preserve">IL-2R</t>
  </si>
  <si>
    <t xml:space="preserve">Haba2001</t>
  </si>
  <si>
    <t xml:space="preserve">Sun2016</t>
  </si>
  <si>
    <t xml:space="preserve">Canakinumab</t>
  </si>
  <si>
    <t xml:space="preserve">IL-1b</t>
  </si>
  <si>
    <t xml:space="preserve">Chakraborty2012</t>
  </si>
  <si>
    <t xml:space="preserve">Paller2020</t>
  </si>
  <si>
    <t xml:space="preserve">Dupilumab</t>
  </si>
  <si>
    <t xml:space="preserve">IL-4Ra</t>
  </si>
  <si>
    <t xml:space="preserve">Li2020</t>
  </si>
  <si>
    <t xml:space="preserve">Kiialainen2024</t>
  </si>
  <si>
    <t xml:space="preserve">Emicizumab</t>
  </si>
  <si>
    <t xml:space="preserve">IXa &amp; X (bisp.)</t>
  </si>
  <si>
    <t xml:space="preserve">only trough concentrations reported</t>
  </si>
  <si>
    <t xml:space="preserve">Yoneyama2022</t>
  </si>
  <si>
    <t xml:space="preserve">Wiegman2024</t>
  </si>
  <si>
    <t xml:space="preserve">Evinacumab</t>
  </si>
  <si>
    <t xml:space="preserve">ANGPTL3</t>
  </si>
  <si>
    <t xml:space="preserve">Khaksar2021</t>
  </si>
  <si>
    <t xml:space="preserve">Baldassano2003</t>
  </si>
  <si>
    <t xml:space="preserve">Infliximab</t>
  </si>
  <si>
    <t xml:space="preserve">TNFa</t>
  </si>
  <si>
    <t xml:space="preserve">Chang2022</t>
  </si>
  <si>
    <t xml:space="preserve">Burns2008</t>
  </si>
  <si>
    <t xml:space="preserve">Ruperto2007</t>
  </si>
  <si>
    <t xml:space="preserve">Zhang2017</t>
  </si>
  <si>
    <t xml:space="preserve">Tocilizumab</t>
  </si>
  <si>
    <t xml:space="preserve">IL-6R</t>
  </si>
  <si>
    <t xml:space="preserve">Zhang2021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</si>
</sst>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</font>
    <font>
      <sz val="11"/>
      <color rgb="FFC9211E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FF4000"/>
        <bgColor rgb="FFC9211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B43" activeCellId="0" sqref="B43"/>
    </sheetView>
  </sheetViews>
  <sheetFormatPr defaultColWidth="11.42578125" defaultRowHeight="15" customHeight="true" zeroHeight="false" outlineLevelRow="0" outlineLevelCol="0"/>
  <cols>
    <col collapsed="false" customWidth="true" hidden="false" outlineLevel="0" max="1" min="1" style="1" width="24.92"/>
    <col collapsed="false" customWidth="true" hidden="false" outlineLevel="0" max="2" min="2" style="1" width="15.28"/>
    <col collapsed="false" customWidth="true" hidden="false" outlineLevel="0" max="3" min="3" style="1" width="17.44"/>
    <col collapsed="false" customWidth="true" hidden="false" outlineLevel="0" max="4" min="4" style="1" width="18.91"/>
    <col collapsed="false" customWidth="true" hidden="false" outlineLevel="0" max="5" min="5" style="1" width="21.33"/>
    <col collapsed="false" customWidth="true" hidden="false" outlineLevel="0" max="6" min="6" style="1" width="23.29"/>
    <col collapsed="false" customWidth="true" hidden="false" outlineLevel="0" max="7" min="7" style="1" width="12"/>
    <col collapsed="false" customWidth="true" hidden="false" outlineLevel="0" max="10" min="8" style="1" width="26.72"/>
    <col collapsed="false" customWidth="true" hidden="false" outlineLevel="0" max="11" min="11" style="1" width="29.25"/>
    <col collapsed="false" customWidth="true" hidden="false" outlineLevel="0" max="12" min="12" style="1" width="13.49"/>
    <col collapsed="false" customWidth="true" hidden="false" outlineLevel="0" max="13" min="13" style="1" width="16.3"/>
    <col collapsed="false" customWidth="true" hidden="false" outlineLevel="0" max="14" min="14" style="1" width="17.06"/>
    <col collapsed="false" customWidth="true" hidden="false" outlineLevel="0" max="15" min="15" style="1" width="15.17"/>
    <col collapsed="false" customWidth="true" hidden="false" outlineLevel="0" max="16" min="16" style="1" width="12.02"/>
    <col collapsed="false" customWidth="true" hidden="false" outlineLevel="0" max="17" min="17" style="1" width="26.82"/>
    <col collapsed="false" customWidth="true" hidden="false" outlineLevel="0" max="18" min="18" style="1" width="14.47"/>
    <col collapsed="false" customWidth="true" hidden="false" outlineLevel="0" max="19" min="19" style="1" width="18.37"/>
    <col collapsed="false" customWidth="true" hidden="false" outlineLevel="0" max="22" min="20" style="1" width="38"/>
    <col collapsed="false" customWidth="true" hidden="false" outlineLevel="0" max="23" min="23" style="1" width="85.13"/>
    <col collapsed="false" customWidth="true" hidden="false" outlineLevel="0" max="16384" min="16383" style="1" width="13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1" t="s">
        <v>19</v>
      </c>
      <c r="U1" s="2" t="s">
        <v>20</v>
      </c>
      <c r="V1" s="2" t="s">
        <v>21</v>
      </c>
      <c r="W1" s="1" t="s">
        <v>22</v>
      </c>
    </row>
    <row r="2" customFormat="false" ht="15" hidden="false" customHeight="false" outlineLevel="0" collapsed="false">
      <c r="A2" s="1" t="s">
        <v>23</v>
      </c>
      <c r="B2" s="1" t="s">
        <v>24</v>
      </c>
      <c r="C2" s="1" t="s">
        <v>25</v>
      </c>
      <c r="F2" s="1" t="n">
        <v>40</v>
      </c>
      <c r="H2" s="1" t="n">
        <v>19</v>
      </c>
      <c r="I2" s="1" t="n">
        <v>60</v>
      </c>
      <c r="J2" s="1" t="n">
        <v>19</v>
      </c>
      <c r="K2" s="1" t="n">
        <v>65</v>
      </c>
      <c r="L2" s="1" t="n">
        <v>6</v>
      </c>
      <c r="M2" s="1" t="n">
        <v>1</v>
      </c>
      <c r="P2" s="1" t="s">
        <v>26</v>
      </c>
      <c r="Q2" s="2" t="s">
        <v>27</v>
      </c>
      <c r="R2" s="3" t="n">
        <v>26.3</v>
      </c>
      <c r="S2" s="3" t="n">
        <v>5.1</v>
      </c>
      <c r="T2" s="2" t="n">
        <v>480</v>
      </c>
      <c r="U2" s="2" t="n">
        <v>128</v>
      </c>
      <c r="V2" s="2"/>
    </row>
    <row r="3" customFormat="false" ht="15" hidden="false" customHeight="false" outlineLevel="0" collapsed="false">
      <c r="A3" s="1" t="s">
        <v>23</v>
      </c>
      <c r="B3" s="1" t="s">
        <v>24</v>
      </c>
      <c r="C3" s="1" t="s">
        <v>25</v>
      </c>
      <c r="F3" s="1" t="n">
        <v>40</v>
      </c>
      <c r="H3" s="1" t="n">
        <v>19</v>
      </c>
      <c r="I3" s="1" t="n">
        <v>60</v>
      </c>
      <c r="J3" s="1" t="n">
        <v>19</v>
      </c>
      <c r="K3" s="1" t="n">
        <v>65</v>
      </c>
      <c r="L3" s="1" t="n">
        <v>6</v>
      </c>
      <c r="M3" s="1" t="n">
        <v>3</v>
      </c>
      <c r="P3" s="1" t="s">
        <v>26</v>
      </c>
      <c r="Q3" s="1" t="s">
        <v>27</v>
      </c>
      <c r="R3" s="3" t="n">
        <v>24.5</v>
      </c>
      <c r="S3" s="3" t="n">
        <v>5</v>
      </c>
      <c r="T3" s="1" t="n">
        <v>1438</v>
      </c>
      <c r="U3" s="1" t="n">
        <v>287</v>
      </c>
    </row>
    <row r="4" customFormat="false" ht="15" hidden="false" customHeight="false" outlineLevel="0" collapsed="false">
      <c r="A4" s="1" t="s">
        <v>23</v>
      </c>
      <c r="B4" s="1" t="s">
        <v>24</v>
      </c>
      <c r="C4" s="1" t="s">
        <v>25</v>
      </c>
      <c r="F4" s="1" t="n">
        <v>2.9</v>
      </c>
      <c r="G4" s="1" t="n">
        <v>2.4</v>
      </c>
      <c r="J4" s="1" t="n">
        <v>1</v>
      </c>
      <c r="K4" s="1" t="n">
        <v>15</v>
      </c>
      <c r="L4" s="1" t="n">
        <v>37</v>
      </c>
      <c r="M4" s="1" t="n">
        <v>1</v>
      </c>
      <c r="P4" s="1" t="s">
        <v>26</v>
      </c>
      <c r="Q4" s="1" t="s">
        <v>28</v>
      </c>
      <c r="R4" s="3" t="n">
        <v>24.4</v>
      </c>
      <c r="S4" s="3" t="n">
        <v>6.4</v>
      </c>
      <c r="T4" s="1" t="n">
        <v>342</v>
      </c>
      <c r="U4" s="1" t="n">
        <v>105</v>
      </c>
    </row>
    <row r="5" customFormat="false" ht="15" hidden="false" customHeight="false" outlineLevel="0" collapsed="false">
      <c r="A5" s="1" t="s">
        <v>23</v>
      </c>
      <c r="B5" s="1" t="s">
        <v>24</v>
      </c>
      <c r="C5" s="1" t="s">
        <v>25</v>
      </c>
      <c r="F5" s="1" t="n">
        <v>2.8</v>
      </c>
      <c r="G5" s="1" t="n">
        <v>2.4</v>
      </c>
      <c r="J5" s="1" t="n">
        <v>1</v>
      </c>
      <c r="K5" s="1" t="n">
        <v>15</v>
      </c>
      <c r="L5" s="1" t="n">
        <v>35</v>
      </c>
      <c r="M5" s="1" t="n">
        <v>3</v>
      </c>
      <c r="P5" s="1" t="s">
        <v>26</v>
      </c>
      <c r="Q5" s="1" t="s">
        <v>28</v>
      </c>
      <c r="R5" s="3" t="n">
        <v>22.4</v>
      </c>
      <c r="S5" s="3" t="n">
        <v>6.2</v>
      </c>
      <c r="T5" s="1" t="n">
        <v>869</v>
      </c>
      <c r="U5" s="1" t="n">
        <v>286</v>
      </c>
    </row>
    <row r="6" customFormat="false" ht="15" hidden="false" customHeight="true" outlineLevel="0" collapsed="false">
      <c r="A6" s="1" t="s">
        <v>29</v>
      </c>
      <c r="B6" s="1" t="s">
        <v>30</v>
      </c>
      <c r="C6" s="1" t="s">
        <v>31</v>
      </c>
      <c r="F6" s="1" t="n">
        <v>35</v>
      </c>
      <c r="G6" s="1" t="n">
        <v>10.1</v>
      </c>
      <c r="H6" s="1" t="n">
        <v>28</v>
      </c>
      <c r="I6" s="1" t="n">
        <v>50</v>
      </c>
      <c r="L6" s="1" t="n">
        <v>4</v>
      </c>
      <c r="M6" s="1" t="n">
        <v>3</v>
      </c>
      <c r="P6" s="1" t="s">
        <v>26</v>
      </c>
      <c r="Q6" s="2" t="s">
        <v>27</v>
      </c>
      <c r="R6" s="1" t="n">
        <f aca="false">813.8/24</f>
        <v>33.9083333333333</v>
      </c>
      <c r="S6" s="1" t="n">
        <f aca="false">161.32/24</f>
        <v>6.72166666666667</v>
      </c>
      <c r="T6" s="1" t="n">
        <f aca="false">72392.1/24</f>
        <v>3016.3375</v>
      </c>
      <c r="U6" s="1" t="n">
        <f aca="false">38163.32/24</f>
        <v>1590.13833333333</v>
      </c>
      <c r="W6" s="1" t="s">
        <v>32</v>
      </c>
    </row>
    <row r="7" customFormat="false" ht="15" hidden="false" customHeight="true" outlineLevel="0" collapsed="false">
      <c r="A7" s="1" t="s">
        <v>29</v>
      </c>
      <c r="B7" s="1" t="s">
        <v>30</v>
      </c>
      <c r="C7" s="1" t="s">
        <v>31</v>
      </c>
      <c r="F7" s="1" t="n">
        <v>34.3</v>
      </c>
      <c r="G7" s="1" t="n">
        <v>10.1</v>
      </c>
      <c r="H7" s="1" t="n">
        <v>24</v>
      </c>
      <c r="I7" s="1" t="n">
        <v>48</v>
      </c>
      <c r="L7" s="1" t="n">
        <v>4</v>
      </c>
      <c r="M7" s="1" t="n">
        <v>10</v>
      </c>
      <c r="P7" s="1" t="s">
        <v>26</v>
      </c>
      <c r="Q7" s="2" t="s">
        <v>27</v>
      </c>
      <c r="R7" s="1" t="n">
        <f aca="false">784.59/24</f>
        <v>32.69125</v>
      </c>
      <c r="S7" s="1" t="n">
        <f aca="false">291.42/24</f>
        <v>12.1425</v>
      </c>
      <c r="T7" s="1" t="n">
        <f aca="false">213380.12/24</f>
        <v>8890.83833333333</v>
      </c>
      <c r="U7" s="1" t="n">
        <f aca="false">89889.14/24</f>
        <v>3745.38083333333</v>
      </c>
      <c r="W7" s="2" t="s">
        <v>32</v>
      </c>
    </row>
    <row r="8" customFormat="false" ht="15" hidden="false" customHeight="true" outlineLevel="0" collapsed="false">
      <c r="A8" s="2" t="s">
        <v>33</v>
      </c>
      <c r="B8" s="1" t="s">
        <v>30</v>
      </c>
      <c r="C8" s="1" t="s">
        <v>31</v>
      </c>
      <c r="D8" s="1" t="n">
        <v>27.4</v>
      </c>
      <c r="E8" s="1" t="n">
        <v>1.7</v>
      </c>
      <c r="J8" s="1" t="n">
        <f aca="false">3/365.25</f>
        <v>0.0082135523613963</v>
      </c>
      <c r="K8" s="2" t="n">
        <f aca="false">7/365.25</f>
        <v>0.0191649555099247</v>
      </c>
      <c r="L8" s="1" t="n">
        <v>8</v>
      </c>
      <c r="M8" s="1" t="n">
        <v>10</v>
      </c>
      <c r="P8" s="1" t="s">
        <v>26</v>
      </c>
      <c r="Q8" s="1" t="s">
        <v>34</v>
      </c>
      <c r="W8" s="1" t="s">
        <v>32</v>
      </c>
    </row>
    <row r="9" customFormat="false" ht="15" hidden="false" customHeight="true" outlineLevel="0" collapsed="false">
      <c r="A9" s="1" t="s">
        <v>33</v>
      </c>
      <c r="B9" s="1" t="s">
        <v>30</v>
      </c>
      <c r="C9" s="1" t="s">
        <v>31</v>
      </c>
      <c r="D9" s="1" t="n">
        <v>27.5</v>
      </c>
      <c r="E9" s="1" t="n">
        <v>1.4</v>
      </c>
      <c r="J9" s="1" t="n">
        <f aca="false">3/365.25</f>
        <v>0.0082135523613963</v>
      </c>
      <c r="K9" s="2" t="n">
        <f aca="false">7/365.25</f>
        <v>0.0191649555099247</v>
      </c>
      <c r="L9" s="1" t="n">
        <v>8</v>
      </c>
      <c r="M9" s="1" t="n">
        <v>30</v>
      </c>
      <c r="P9" s="1" t="s">
        <v>26</v>
      </c>
      <c r="Q9" s="1" t="s">
        <v>34</v>
      </c>
      <c r="W9" s="2" t="s">
        <v>32</v>
      </c>
    </row>
    <row r="10" customFormat="false" ht="15" hidden="false" customHeight="true" outlineLevel="0" collapsed="false">
      <c r="A10" s="1" t="s">
        <v>33</v>
      </c>
      <c r="B10" s="1" t="s">
        <v>30</v>
      </c>
      <c r="C10" s="1" t="s">
        <v>31</v>
      </c>
      <c r="D10" s="1" t="n">
        <v>27</v>
      </c>
      <c r="E10" s="1" t="n">
        <v>1.5</v>
      </c>
      <c r="J10" s="1" t="n">
        <f aca="false">3/365.25</f>
        <v>0.0082135523613963</v>
      </c>
      <c r="K10" s="2" t="n">
        <f aca="false">7/365.25</f>
        <v>0.0191649555099247</v>
      </c>
      <c r="L10" s="1" t="n">
        <v>8</v>
      </c>
      <c r="M10" s="1" t="n">
        <v>60</v>
      </c>
      <c r="P10" s="1" t="s">
        <v>26</v>
      </c>
      <c r="Q10" s="1" t="s">
        <v>34</v>
      </c>
      <c r="W10" s="1" t="s">
        <v>32</v>
      </c>
    </row>
    <row r="11" customFormat="false" ht="15" hidden="false" customHeight="true" outlineLevel="0" collapsed="false">
      <c r="A11" s="1" t="s">
        <v>33</v>
      </c>
      <c r="B11" s="1" t="s">
        <v>30</v>
      </c>
      <c r="C11" s="1" t="s">
        <v>31</v>
      </c>
      <c r="D11" s="1" t="n">
        <v>28.3</v>
      </c>
      <c r="E11" s="1" t="n">
        <v>2.2</v>
      </c>
      <c r="J11" s="1" t="n">
        <f aca="false">3/365.25</f>
        <v>0.0082135523613963</v>
      </c>
      <c r="K11" s="2" t="n">
        <f aca="false">7/365.25</f>
        <v>0.0191649555099247</v>
      </c>
      <c r="L11" s="1" t="n">
        <v>9</v>
      </c>
      <c r="M11" s="1" t="n">
        <v>90</v>
      </c>
      <c r="P11" s="1" t="s">
        <v>26</v>
      </c>
      <c r="Q11" s="1" t="s">
        <v>34</v>
      </c>
      <c r="W11" s="2" t="s">
        <v>32</v>
      </c>
    </row>
    <row r="12" customFormat="false" ht="15" hidden="false" customHeight="true" outlineLevel="0" collapsed="false">
      <c r="A12" s="2" t="s">
        <v>35</v>
      </c>
      <c r="B12" s="1" t="s">
        <v>30</v>
      </c>
      <c r="C12" s="1" t="s">
        <v>31</v>
      </c>
      <c r="D12" s="1" t="n">
        <v>27.4</v>
      </c>
      <c r="E12" s="1" t="n">
        <v>1.79</v>
      </c>
      <c r="F12" s="1" t="n">
        <f aca="false">3.7/365.25</f>
        <v>0.0101300479123888</v>
      </c>
      <c r="K12" s="2"/>
      <c r="M12" s="1" t="n">
        <v>60</v>
      </c>
      <c r="Q12" s="1" t="s">
        <v>34</v>
      </c>
      <c r="W12" s="2"/>
    </row>
    <row r="13" customFormat="false" ht="15" hidden="false" customHeight="true" outlineLevel="0" collapsed="false">
      <c r="A13" s="2" t="s">
        <v>35</v>
      </c>
      <c r="B13" s="1" t="s">
        <v>30</v>
      </c>
      <c r="C13" s="1" t="s">
        <v>31</v>
      </c>
      <c r="D13" s="1" t="n">
        <v>27.5</v>
      </c>
      <c r="E13" s="1" t="n">
        <v>1.6</v>
      </c>
      <c r="F13" s="1" t="n">
        <f aca="false">3.7/365.25</f>
        <v>0.0101300479123888</v>
      </c>
      <c r="K13" s="2"/>
      <c r="M13" s="1" t="n">
        <v>90</v>
      </c>
      <c r="Q13" s="1" t="s">
        <v>34</v>
      </c>
      <c r="W13" s="2"/>
    </row>
    <row r="14" customFormat="false" ht="15" hidden="false" customHeight="true" outlineLevel="0" collapsed="false">
      <c r="A14" s="2" t="s">
        <v>36</v>
      </c>
      <c r="B14" s="1" t="s">
        <v>37</v>
      </c>
      <c r="C14" s="1" t="s">
        <v>38</v>
      </c>
      <c r="K14" s="2"/>
      <c r="W14" s="2" t="s">
        <v>39</v>
      </c>
    </row>
    <row r="15" customFormat="false" ht="15" hidden="false" customHeight="true" outlineLevel="0" collapsed="false">
      <c r="A15" s="1" t="s">
        <v>40</v>
      </c>
      <c r="B15" s="1" t="s">
        <v>37</v>
      </c>
      <c r="C15" s="1" t="s">
        <v>38</v>
      </c>
      <c r="P15" s="1" t="s">
        <v>26</v>
      </c>
      <c r="Q15" s="1" t="s">
        <v>41</v>
      </c>
      <c r="W15" s="1" t="s">
        <v>42</v>
      </c>
    </row>
    <row r="16" customFormat="false" ht="15" hidden="false" customHeight="true" outlineLevel="0" collapsed="false">
      <c r="A16" s="1" t="s">
        <v>43</v>
      </c>
      <c r="B16" s="1" t="s">
        <v>37</v>
      </c>
      <c r="C16" s="1" t="s">
        <v>38</v>
      </c>
      <c r="W16" s="1" t="s">
        <v>44</v>
      </c>
    </row>
    <row r="17" customFormat="false" ht="15" hidden="false" customHeight="true" outlineLevel="0" collapsed="false">
      <c r="A17" s="1" t="s">
        <v>45</v>
      </c>
      <c r="B17" s="1" t="s">
        <v>37</v>
      </c>
      <c r="C17" s="1" t="s">
        <v>38</v>
      </c>
      <c r="H17" s="1" t="n">
        <v>0.6</v>
      </c>
      <c r="I17" s="1" t="n">
        <v>1.5</v>
      </c>
      <c r="M17" s="1" t="n">
        <v>15</v>
      </c>
      <c r="P17" s="1" t="s">
        <v>26</v>
      </c>
      <c r="T17" s="1" t="n">
        <v>2613</v>
      </c>
      <c r="W17" s="1" t="s">
        <v>46</v>
      </c>
    </row>
    <row r="18" customFormat="false" ht="15" hidden="false" customHeight="true" outlineLevel="0" collapsed="false">
      <c r="A18" s="1" t="s">
        <v>45</v>
      </c>
      <c r="B18" s="1" t="s">
        <v>37</v>
      </c>
      <c r="C18" s="1" t="s">
        <v>38</v>
      </c>
      <c r="H18" s="1" t="n">
        <v>2</v>
      </c>
      <c r="I18" s="1" t="n">
        <v>11</v>
      </c>
      <c r="M18" s="1" t="n">
        <v>15</v>
      </c>
      <c r="P18" s="1" t="s">
        <v>26</v>
      </c>
      <c r="T18" s="1" t="n">
        <v>4086</v>
      </c>
    </row>
    <row r="19" customFormat="false" ht="15" hidden="false" customHeight="true" outlineLevel="0" collapsed="false">
      <c r="A19" s="1" t="s">
        <v>45</v>
      </c>
      <c r="B19" s="1" t="s">
        <v>37</v>
      </c>
      <c r="C19" s="1" t="s">
        <v>38</v>
      </c>
      <c r="H19" s="1" t="n">
        <v>12</v>
      </c>
      <c r="I19" s="1" t="n">
        <v>17</v>
      </c>
      <c r="M19" s="1" t="n">
        <v>15</v>
      </c>
      <c r="P19" s="1" t="s">
        <v>26</v>
      </c>
      <c r="T19" s="1" t="n">
        <v>4724</v>
      </c>
    </row>
    <row r="20" customFormat="false" ht="15" hidden="false" customHeight="true" outlineLevel="0" collapsed="false">
      <c r="A20" s="1" t="s">
        <v>45</v>
      </c>
      <c r="B20" s="1" t="s">
        <v>37</v>
      </c>
      <c r="C20" s="1" t="s">
        <v>38</v>
      </c>
      <c r="H20" s="1" t="n">
        <v>18</v>
      </c>
      <c r="I20" s="1" t="n">
        <v>29</v>
      </c>
      <c r="N20" s="1" t="n">
        <v>1200</v>
      </c>
      <c r="O20" s="1" t="n">
        <v>61</v>
      </c>
      <c r="P20" s="1" t="s">
        <v>26</v>
      </c>
      <c r="T20" s="1" t="n">
        <v>5558</v>
      </c>
    </row>
    <row r="22" customFormat="false" ht="15" hidden="false" customHeight="true" outlineLevel="0" collapsed="false">
      <c r="A22" s="1" t="s">
        <v>47</v>
      </c>
      <c r="B22" s="1" t="s">
        <v>48</v>
      </c>
      <c r="C22" s="1" t="s">
        <v>38</v>
      </c>
      <c r="P22" s="1" t="s">
        <v>26</v>
      </c>
    </row>
    <row r="23" customFormat="false" ht="15" hidden="false" customHeight="true" outlineLevel="0" collapsed="false">
      <c r="A23" s="1" t="s">
        <v>49</v>
      </c>
      <c r="B23" s="1" t="s">
        <v>48</v>
      </c>
      <c r="C23" s="1" t="s">
        <v>38</v>
      </c>
      <c r="P23" s="1" t="s">
        <v>26</v>
      </c>
      <c r="W23" s="1" t="s">
        <v>50</v>
      </c>
    </row>
    <row r="25" customFormat="false" ht="15" hidden="false" customHeight="true" outlineLevel="0" collapsed="false">
      <c r="A25" s="1" t="s">
        <v>51</v>
      </c>
      <c r="B25" s="1" t="s">
        <v>52</v>
      </c>
      <c r="C25" s="1" t="s">
        <v>53</v>
      </c>
      <c r="P25" s="1" t="s">
        <v>26</v>
      </c>
    </row>
    <row r="26" customFormat="false" ht="15" hidden="false" customHeight="true" outlineLevel="0" collapsed="false">
      <c r="A26" s="1" t="s">
        <v>54</v>
      </c>
      <c r="B26" s="1" t="s">
        <v>52</v>
      </c>
      <c r="C26" s="1" t="s">
        <v>53</v>
      </c>
      <c r="P26" s="1" t="s">
        <v>26</v>
      </c>
    </row>
    <row r="27" customFormat="false" ht="15" hidden="false" customHeight="true" outlineLevel="0" collapsed="false">
      <c r="A27" s="1" t="s">
        <v>55</v>
      </c>
      <c r="B27" s="4" t="s">
        <v>52</v>
      </c>
      <c r="C27" s="1" t="s">
        <v>53</v>
      </c>
      <c r="P27" s="1" t="s">
        <v>26</v>
      </c>
    </row>
    <row r="29" customFormat="false" ht="15" hidden="false" customHeight="true" outlineLevel="0" collapsed="false">
      <c r="B29" s="0"/>
      <c r="C29" s="0"/>
    </row>
    <row r="30" customFormat="false" ht="15" hidden="false" customHeight="true" outlineLevel="0" collapsed="false">
      <c r="B30" s="0"/>
      <c r="C30" s="0"/>
    </row>
    <row r="32" customFormat="false" ht="15" hidden="false" customHeight="true" outlineLevel="0" collapsed="false">
      <c r="A32" s="1" t="s">
        <v>56</v>
      </c>
      <c r="B32" s="1" t="s">
        <v>57</v>
      </c>
      <c r="C32" s="1" t="s">
        <v>58</v>
      </c>
      <c r="P32" s="1" t="s">
        <v>26</v>
      </c>
    </row>
    <row r="33" customFormat="false" ht="15" hidden="false" customHeight="true" outlineLevel="0" collapsed="false">
      <c r="A33" s="1" t="s">
        <v>59</v>
      </c>
      <c r="B33" s="1" t="s">
        <v>57</v>
      </c>
      <c r="C33" s="1" t="s">
        <v>58</v>
      </c>
      <c r="P33" s="1" t="s">
        <v>26</v>
      </c>
    </row>
    <row r="34" customFormat="false" ht="15" hidden="false" customHeight="true" outlineLevel="0" collapsed="false">
      <c r="A34" s="1" t="s">
        <v>60</v>
      </c>
      <c r="B34" s="1" t="s">
        <v>57</v>
      </c>
      <c r="C34" s="1" t="s">
        <v>58</v>
      </c>
      <c r="P34" s="1" t="s">
        <v>26</v>
      </c>
    </row>
    <row r="37" customFormat="false" ht="15" hidden="false" customHeight="true" outlineLevel="0" collapsed="false">
      <c r="A37" s="1" t="s">
        <v>61</v>
      </c>
      <c r="B37" s="1" t="s">
        <v>62</v>
      </c>
      <c r="C37" s="1" t="s">
        <v>63</v>
      </c>
      <c r="P37" s="1" t="s">
        <v>26</v>
      </c>
    </row>
    <row r="38" customFormat="false" ht="15" hidden="false" customHeight="true" outlineLevel="0" collapsed="false">
      <c r="A38" s="1" t="s">
        <v>64</v>
      </c>
      <c r="B38" s="1" t="s">
        <v>62</v>
      </c>
      <c r="C38" s="1" t="s">
        <v>63</v>
      </c>
    </row>
    <row r="39" customFormat="false" ht="15" hidden="false" customHeight="true" outlineLevel="0" collapsed="false">
      <c r="A39" s="1" t="s">
        <v>65</v>
      </c>
      <c r="B39" s="1" t="s">
        <v>62</v>
      </c>
      <c r="C39" s="1" t="s">
        <v>63</v>
      </c>
    </row>
    <row r="40" customFormat="false" ht="15" hidden="false" customHeight="true" outlineLevel="0" collapsed="false">
      <c r="A40" s="1" t="s">
        <v>66</v>
      </c>
      <c r="B40" s="1" t="s">
        <v>62</v>
      </c>
      <c r="C40" s="1" t="s">
        <v>63</v>
      </c>
    </row>
    <row r="41" customFormat="false" ht="15" hidden="false" customHeight="true" outlineLevel="0" collapsed="false">
      <c r="A41" s="1" t="s">
        <v>67</v>
      </c>
      <c r="B41" s="1" t="s">
        <v>62</v>
      </c>
      <c r="C41" s="1" t="s">
        <v>63</v>
      </c>
    </row>
    <row r="46" customFormat="false" ht="15" hidden="false" customHeight="true" outlineLevel="0" collapsed="false">
      <c r="A46" s="1" t="s">
        <v>68</v>
      </c>
      <c r="B46" s="1" t="s">
        <v>69</v>
      </c>
      <c r="C46" s="1" t="s">
        <v>70</v>
      </c>
      <c r="P46" s="1" t="s">
        <v>26</v>
      </c>
      <c r="XFC46" s="0"/>
      <c r="XFD46" s="0"/>
    </row>
    <row r="48" customFormat="false" ht="15" hidden="false" customHeight="true" outlineLevel="0" collapsed="false">
      <c r="A48" s="1" t="s">
        <v>71</v>
      </c>
      <c r="B48" s="1" t="s">
        <v>72</v>
      </c>
      <c r="C48" s="1" t="s">
        <v>73</v>
      </c>
      <c r="P48" s="1" t="s">
        <v>26</v>
      </c>
    </row>
    <row r="49" customFormat="false" ht="15" hidden="false" customHeight="true" outlineLevel="0" collapsed="false">
      <c r="A49" s="1" t="s">
        <v>74</v>
      </c>
      <c r="B49" s="1" t="s">
        <v>72</v>
      </c>
      <c r="C49" s="1" t="s">
        <v>73</v>
      </c>
      <c r="P49" s="1" t="s">
        <v>26</v>
      </c>
    </row>
    <row r="50" customFormat="false" ht="15" hidden="false" customHeight="true" outlineLevel="0" collapsed="false">
      <c r="A50" s="1" t="s">
        <v>75</v>
      </c>
      <c r="B50" s="1" t="s">
        <v>72</v>
      </c>
      <c r="C50" s="1" t="s">
        <v>73</v>
      </c>
    </row>
    <row r="55" s="5" customFormat="true" ht="15" hidden="false" customHeight="true" outlineLevel="0" collapsed="false">
      <c r="X55" s="1"/>
      <c r="Y55" s="1"/>
    </row>
    <row r="57" customFormat="false" ht="15" hidden="false" customHeight="true" outlineLevel="0" collapsed="false">
      <c r="A57" s="1" t="s">
        <v>76</v>
      </c>
      <c r="B57" s="1" t="s">
        <v>77</v>
      </c>
      <c r="C57" s="1" t="s">
        <v>78</v>
      </c>
      <c r="J57" s="1" t="n">
        <v>2</v>
      </c>
      <c r="W57" s="1" t="s">
        <v>79</v>
      </c>
    </row>
    <row r="58" customFormat="false" ht="15" hidden="false" customHeight="true" outlineLevel="0" collapsed="false">
      <c r="A58" s="1" t="s">
        <v>80</v>
      </c>
      <c r="B58" s="1" t="s">
        <v>77</v>
      </c>
      <c r="C58" s="4" t="s">
        <v>78</v>
      </c>
      <c r="J58" s="1" t="n">
        <f aca="false">13/12</f>
        <v>1.08333333333333</v>
      </c>
      <c r="W58" s="2" t="s">
        <v>81</v>
      </c>
    </row>
    <row r="59" customFormat="false" ht="15" hidden="false" customHeight="true" outlineLevel="0" collapsed="false">
      <c r="A59" s="1" t="s">
        <v>82</v>
      </c>
      <c r="B59" s="1" t="s">
        <v>77</v>
      </c>
      <c r="C59" s="4" t="s">
        <v>78</v>
      </c>
      <c r="F59" s="1" t="n">
        <v>6.8</v>
      </c>
      <c r="G59" s="1" t="n">
        <v>4.45</v>
      </c>
      <c r="H59" s="1" t="n">
        <v>2</v>
      </c>
      <c r="I59" s="1" t="n">
        <v>31</v>
      </c>
      <c r="L59" s="1" t="n">
        <v>117</v>
      </c>
      <c r="W59" s="2" t="s">
        <v>83</v>
      </c>
    </row>
    <row r="60" customFormat="false" ht="15" hidden="false" customHeight="true" outlineLevel="0" collapsed="false">
      <c r="A60" s="1" t="s">
        <v>84</v>
      </c>
      <c r="B60" s="1" t="s">
        <v>77</v>
      </c>
      <c r="C60" s="4" t="s">
        <v>78</v>
      </c>
      <c r="F60" s="1" t="n">
        <v>5.4</v>
      </c>
      <c r="G60" s="1" t="n">
        <v>2.1</v>
      </c>
      <c r="H60" s="1" t="n">
        <v>1</v>
      </c>
      <c r="I60" s="1" t="n">
        <v>10</v>
      </c>
      <c r="L60" s="1" t="n">
        <v>25</v>
      </c>
      <c r="W60" s="2" t="s">
        <v>85</v>
      </c>
    </row>
    <row r="61" customFormat="false" ht="15" hidden="false" customHeight="true" outlineLevel="0" collapsed="false">
      <c r="A61" s="1" t="s">
        <v>86</v>
      </c>
      <c r="B61" s="1" t="s">
        <v>77</v>
      </c>
      <c r="C61" s="4" t="s">
        <v>78</v>
      </c>
      <c r="F61" s="1" t="n">
        <v>5.6</v>
      </c>
      <c r="G61" s="1" t="n">
        <v>1.97</v>
      </c>
      <c r="H61" s="1" t="n">
        <v>3</v>
      </c>
      <c r="I61" s="1" t="n">
        <v>10</v>
      </c>
      <c r="L61" s="1" t="n">
        <v>22</v>
      </c>
    </row>
    <row r="65" s="6" customFormat="true" ht="15" hidden="false" customHeight="true" outlineLevel="0" collapsed="false"/>
    <row r="66" customFormat="false" ht="15" hidden="false" customHeight="true" outlineLevel="0" collapsed="false">
      <c r="A66" s="1" t="s">
        <v>87</v>
      </c>
    </row>
    <row r="67" s="6" customFormat="true" ht="15" hidden="false" customHeight="true" outlineLevel="0" collapsed="false">
      <c r="XFC67" s="1"/>
      <c r="XFD67" s="1"/>
    </row>
    <row r="70" customFormat="false" ht="15" hidden="false" customHeight="true" outlineLevel="0" collapsed="false">
      <c r="A70" s="1" t="s">
        <v>88</v>
      </c>
      <c r="B70" s="1" t="s">
        <v>89</v>
      </c>
      <c r="C70" s="1" t="s">
        <v>58</v>
      </c>
      <c r="F70" s="1" t="n">
        <v>24</v>
      </c>
      <c r="G70" s="1" t="n">
        <v>3</v>
      </c>
      <c r="H70" s="1" t="n">
        <v>19</v>
      </c>
      <c r="I70" s="1" t="n">
        <v>29</v>
      </c>
      <c r="J70" s="1" t="n">
        <v>18</v>
      </c>
      <c r="K70" s="1" t="n">
        <v>45</v>
      </c>
      <c r="L70" s="1" t="n">
        <v>2</v>
      </c>
      <c r="M70" s="1" t="n">
        <v>0.025</v>
      </c>
      <c r="P70" s="1" t="s">
        <v>26</v>
      </c>
      <c r="Q70" s="2" t="s">
        <v>27</v>
      </c>
      <c r="R70" s="3" t="n">
        <f aca="false">480/24</f>
        <v>20</v>
      </c>
      <c r="S70" s="3"/>
      <c r="T70" s="2"/>
      <c r="U70" s="2"/>
    </row>
    <row r="71" customFormat="false" ht="15" hidden="false" customHeight="true" outlineLevel="0" collapsed="false">
      <c r="A71" s="1" t="s">
        <v>88</v>
      </c>
      <c r="B71" s="1" t="s">
        <v>89</v>
      </c>
      <c r="C71" s="1" t="s">
        <v>58</v>
      </c>
      <c r="F71" s="1" t="n">
        <v>24</v>
      </c>
      <c r="G71" s="1" t="n">
        <v>3</v>
      </c>
      <c r="H71" s="1" t="n">
        <v>19</v>
      </c>
      <c r="I71" s="1" t="n">
        <v>29</v>
      </c>
      <c r="J71" s="1" t="n">
        <v>18</v>
      </c>
      <c r="K71" s="1" t="n">
        <v>45</v>
      </c>
      <c r="L71" s="1" t="n">
        <v>2</v>
      </c>
      <c r="M71" s="1" t="n">
        <v>0.25</v>
      </c>
      <c r="P71" s="1" t="s">
        <v>26</v>
      </c>
      <c r="Q71" s="2" t="s">
        <v>27</v>
      </c>
      <c r="R71" s="3" t="n">
        <f aca="false">493/24</f>
        <v>20.5416666666667</v>
      </c>
      <c r="S71" s="3"/>
      <c r="T71" s="2"/>
      <c r="U71" s="2"/>
    </row>
    <row r="72" customFormat="false" ht="15" hidden="false" customHeight="true" outlineLevel="0" collapsed="false">
      <c r="A72" s="1" t="s">
        <v>88</v>
      </c>
      <c r="B72" s="1" t="s">
        <v>89</v>
      </c>
      <c r="C72" s="1" t="s">
        <v>58</v>
      </c>
      <c r="F72" s="1" t="n">
        <v>24</v>
      </c>
      <c r="G72" s="1" t="n">
        <v>3</v>
      </c>
      <c r="H72" s="1" t="n">
        <v>19</v>
      </c>
      <c r="I72" s="1" t="n">
        <v>29</v>
      </c>
      <c r="J72" s="1" t="n">
        <v>18</v>
      </c>
      <c r="K72" s="1" t="n">
        <v>45</v>
      </c>
      <c r="L72" s="1" t="n">
        <v>4</v>
      </c>
      <c r="M72" s="1" t="n">
        <v>1.25</v>
      </c>
      <c r="P72" s="1" t="s">
        <v>26</v>
      </c>
      <c r="Q72" s="2" t="s">
        <v>27</v>
      </c>
      <c r="R72" s="3" t="n">
        <f aca="false">603/24</f>
        <v>25.125</v>
      </c>
      <c r="S72" s="3" t="n">
        <f aca="false">115/24</f>
        <v>4.79166666666667</v>
      </c>
      <c r="T72" s="2"/>
      <c r="U72" s="2"/>
    </row>
    <row r="73" customFormat="false" ht="15" hidden="false" customHeight="true" outlineLevel="0" collapsed="false">
      <c r="A73" s="1" t="s">
        <v>88</v>
      </c>
      <c r="B73" s="1" t="s">
        <v>89</v>
      </c>
      <c r="C73" s="1" t="s">
        <v>58</v>
      </c>
      <c r="F73" s="1" t="n">
        <v>24</v>
      </c>
      <c r="G73" s="1" t="n">
        <v>3</v>
      </c>
      <c r="H73" s="1" t="n">
        <v>19</v>
      </c>
      <c r="I73" s="1" t="n">
        <v>29</v>
      </c>
      <c r="J73" s="1" t="n">
        <v>18</v>
      </c>
      <c r="K73" s="1" t="n">
        <v>45</v>
      </c>
      <c r="L73" s="1" t="n">
        <v>4</v>
      </c>
      <c r="M73" s="1" t="n">
        <v>5</v>
      </c>
      <c r="P73" s="1" t="s">
        <v>26</v>
      </c>
      <c r="Q73" s="2" t="s">
        <v>27</v>
      </c>
      <c r="R73" s="3" t="n">
        <f aca="false">521/24</f>
        <v>21.7083333333333</v>
      </c>
      <c r="S73" s="3" t="n">
        <f aca="false">107/24</f>
        <v>4.45833333333333</v>
      </c>
      <c r="T73" s="2"/>
      <c r="U73" s="2"/>
    </row>
    <row r="74" customFormat="false" ht="15" hidden="false" customHeight="true" outlineLevel="0" collapsed="false">
      <c r="A74" s="1" t="s">
        <v>88</v>
      </c>
      <c r="B74" s="1" t="s">
        <v>89</v>
      </c>
      <c r="C74" s="1" t="s">
        <v>58</v>
      </c>
      <c r="F74" s="1" t="n">
        <v>24</v>
      </c>
      <c r="G74" s="1" t="n">
        <v>3</v>
      </c>
      <c r="H74" s="1" t="n">
        <v>19</v>
      </c>
      <c r="I74" s="1" t="n">
        <v>29</v>
      </c>
      <c r="J74" s="1" t="n">
        <v>18</v>
      </c>
      <c r="K74" s="1" t="n">
        <v>45</v>
      </c>
      <c r="L74" s="1" t="n">
        <v>4</v>
      </c>
      <c r="M74" s="1" t="n">
        <v>10</v>
      </c>
      <c r="P74" s="1" t="s">
        <v>26</v>
      </c>
      <c r="Q74" s="2" t="s">
        <v>27</v>
      </c>
      <c r="R74" s="3" t="n">
        <f aca="false">617/24</f>
        <v>25.7083333333333</v>
      </c>
      <c r="S74" s="3" t="n">
        <f aca="false">46/24</f>
        <v>1.91666666666667</v>
      </c>
      <c r="T74" s="2"/>
      <c r="U74" s="2"/>
    </row>
    <row r="75" customFormat="false" ht="15" hidden="false" customHeight="true" outlineLevel="0" collapsed="false">
      <c r="A75" s="1" t="s">
        <v>90</v>
      </c>
      <c r="B75" s="1" t="s">
        <v>89</v>
      </c>
      <c r="C75" s="1" t="s">
        <v>58</v>
      </c>
      <c r="F75" s="1" t="n">
        <f aca="false">6/12</f>
        <v>0.5</v>
      </c>
      <c r="H75" s="1" t="n">
        <f aca="false">4/12</f>
        <v>0.333333333333333</v>
      </c>
      <c r="I75" s="1" t="n">
        <f aca="false">11/12</f>
        <v>0.916666666666667</v>
      </c>
      <c r="L75" s="1" t="n">
        <v>8</v>
      </c>
      <c r="M75" s="1" t="n">
        <v>0.25</v>
      </c>
      <c r="P75" s="1" t="s">
        <v>91</v>
      </c>
      <c r="Q75" s="1" t="s">
        <v>92</v>
      </c>
      <c r="W75" s="1" t="s">
        <v>93</v>
      </c>
    </row>
    <row r="76" customFormat="false" ht="15" hidden="false" customHeight="true" outlineLevel="0" collapsed="false">
      <c r="A76" s="1" t="s">
        <v>90</v>
      </c>
      <c r="B76" s="1" t="s">
        <v>89</v>
      </c>
      <c r="C76" s="1" t="s">
        <v>58</v>
      </c>
      <c r="F76" s="1" t="n">
        <f aca="false">9.8/12</f>
        <v>0.816666666666667</v>
      </c>
      <c r="H76" s="1" t="n">
        <f aca="false">0.75/12</f>
        <v>0.0625</v>
      </c>
      <c r="I76" s="1" t="n">
        <f aca="false">30/12</f>
        <v>2.5</v>
      </c>
      <c r="L76" s="1" t="n">
        <v>11</v>
      </c>
      <c r="M76" s="1" t="n">
        <v>1.25</v>
      </c>
      <c r="P76" s="1" t="s">
        <v>91</v>
      </c>
      <c r="Q76" s="1" t="s">
        <v>92</v>
      </c>
    </row>
    <row r="77" customFormat="false" ht="15" hidden="false" customHeight="true" outlineLevel="0" collapsed="false">
      <c r="A77" s="1" t="s">
        <v>90</v>
      </c>
      <c r="B77" s="1" t="s">
        <v>89</v>
      </c>
      <c r="C77" s="1" t="s">
        <v>58</v>
      </c>
      <c r="F77" s="1" t="n">
        <f aca="false">9.8/12</f>
        <v>0.816666666666667</v>
      </c>
      <c r="H77" s="1" t="n">
        <f aca="false">0.25/12</f>
        <v>0.0208333333333333</v>
      </c>
      <c r="I77" s="1" t="n">
        <f aca="false">33/12</f>
        <v>2.75</v>
      </c>
      <c r="L77" s="1" t="n">
        <v>11</v>
      </c>
      <c r="M77" s="1" t="n">
        <v>5</v>
      </c>
      <c r="P77" s="1" t="s">
        <v>91</v>
      </c>
      <c r="Q77" s="1" t="s">
        <v>92</v>
      </c>
    </row>
    <row r="78" customFormat="false" ht="15" hidden="false" customHeight="true" outlineLevel="0" collapsed="false">
      <c r="A78" s="1" t="s">
        <v>90</v>
      </c>
      <c r="B78" s="1" t="s">
        <v>89</v>
      </c>
      <c r="C78" s="1" t="s">
        <v>58</v>
      </c>
      <c r="F78" s="1" t="n">
        <f aca="false">5.4/12</f>
        <v>0.45</v>
      </c>
      <c r="H78" s="1" t="n">
        <f aca="false">0.75/12</f>
        <v>0.0625</v>
      </c>
      <c r="I78" s="1" t="n">
        <f aca="false">13/12</f>
        <v>1.08333333333333</v>
      </c>
      <c r="L78" s="1" t="n">
        <v>13</v>
      </c>
      <c r="M78" s="1" t="n">
        <v>10</v>
      </c>
      <c r="P78" s="1" t="s">
        <v>91</v>
      </c>
      <c r="Q78" s="1" t="s">
        <v>92</v>
      </c>
    </row>
    <row r="81" customFormat="false" ht="15" hidden="false" customHeight="true" outlineLevel="0" collapsed="false">
      <c r="A81" s="1" t="s">
        <v>94</v>
      </c>
      <c r="B81" s="1" t="s">
        <v>95</v>
      </c>
      <c r="C81" s="1" t="s">
        <v>58</v>
      </c>
      <c r="F81" s="1" t="s">
        <v>96</v>
      </c>
      <c r="P81" s="1" t="s">
        <v>91</v>
      </c>
    </row>
    <row r="82" customFormat="false" ht="15" hidden="false" customHeight="true" outlineLevel="0" collapsed="false">
      <c r="A82" s="1" t="s">
        <v>97</v>
      </c>
      <c r="B82" s="1" t="s">
        <v>95</v>
      </c>
      <c r="C82" s="1" t="s">
        <v>58</v>
      </c>
      <c r="F82" s="1" t="s">
        <v>98</v>
      </c>
      <c r="P82" s="1" t="s">
        <v>91</v>
      </c>
    </row>
    <row r="83" customFormat="false" ht="15" hidden="false" customHeight="true" outlineLevel="0" collapsed="false">
      <c r="A83" s="1" t="s">
        <v>99</v>
      </c>
      <c r="B83" s="1" t="s">
        <v>95</v>
      </c>
      <c r="C83" s="1" t="s">
        <v>58</v>
      </c>
      <c r="F83" s="1" t="s">
        <v>100</v>
      </c>
      <c r="P83" s="1" t="s">
        <v>91</v>
      </c>
    </row>
    <row r="84" customFormat="false" ht="15" hidden="false" customHeight="true" outlineLevel="0" collapsed="false">
      <c r="A84" s="1" t="s">
        <v>101</v>
      </c>
      <c r="B84" s="1" t="s">
        <v>95</v>
      </c>
      <c r="C84" s="1" t="s">
        <v>58</v>
      </c>
      <c r="F84" s="1" t="s">
        <v>102</v>
      </c>
      <c r="P84" s="1" t="s">
        <v>103</v>
      </c>
    </row>
    <row r="87" customFormat="false" ht="15" hidden="false" customHeight="true" outlineLevel="0" collapsed="false">
      <c r="A87" s="1" t="s">
        <v>104</v>
      </c>
      <c r="B87" s="1" t="s">
        <v>105</v>
      </c>
      <c r="C87" s="1" t="s">
        <v>106</v>
      </c>
      <c r="P87" s="1" t="s">
        <v>26</v>
      </c>
    </row>
    <row r="88" customFormat="false" ht="15" hidden="false" customHeight="true" outlineLevel="0" collapsed="false">
      <c r="A88" s="1" t="s">
        <v>107</v>
      </c>
      <c r="B88" s="1" t="s">
        <v>105</v>
      </c>
      <c r="C88" s="1" t="s">
        <v>106</v>
      </c>
      <c r="P88" s="1" t="s">
        <v>26</v>
      </c>
    </row>
    <row r="89" customFormat="false" ht="15" hidden="false" customHeight="true" outlineLevel="0" collapsed="false">
      <c r="A89" s="1" t="s">
        <v>108</v>
      </c>
      <c r="B89" s="1" t="s">
        <v>105</v>
      </c>
      <c r="C89" s="1" t="s">
        <v>106</v>
      </c>
      <c r="P89" s="1" t="s">
        <v>26</v>
      </c>
    </row>
    <row r="90" customFormat="false" ht="15" hidden="false" customHeight="true" outlineLevel="0" collapsed="false">
      <c r="A90" s="1" t="s">
        <v>109</v>
      </c>
      <c r="B90" s="1" t="s">
        <v>105</v>
      </c>
      <c r="C90" s="1" t="s">
        <v>106</v>
      </c>
      <c r="P90" s="1" t="s">
        <v>26</v>
      </c>
    </row>
    <row r="93" customFormat="false" ht="15" hidden="false" customHeight="true" outlineLevel="0" collapsed="false">
      <c r="A93" s="1" t="s">
        <v>110</v>
      </c>
      <c r="B93" s="4" t="s">
        <v>111</v>
      </c>
      <c r="C93" s="1" t="s">
        <v>112</v>
      </c>
      <c r="P93" s="1" t="s">
        <v>113</v>
      </c>
    </row>
    <row r="94" customFormat="false" ht="15" hidden="false" customHeight="true" outlineLevel="0" collapsed="false">
      <c r="A94" s="1" t="s">
        <v>114</v>
      </c>
      <c r="B94" s="1" t="s">
        <v>111</v>
      </c>
      <c r="C94" s="1" t="s">
        <v>112</v>
      </c>
      <c r="F94" s="1" t="s">
        <v>115</v>
      </c>
      <c r="P94" s="1" t="s">
        <v>113</v>
      </c>
    </row>
    <row r="95" customFormat="false" ht="15" hidden="false" customHeight="true" outlineLevel="0" collapsed="false">
      <c r="A95" s="0"/>
      <c r="B95" s="0"/>
      <c r="C95" s="0"/>
    </row>
    <row r="97" customFormat="false" ht="15" hidden="false" customHeight="true" outlineLevel="0" collapsed="false">
      <c r="A97" s="1" t="s">
        <v>116</v>
      </c>
      <c r="B97" s="1" t="s">
        <v>117</v>
      </c>
      <c r="C97" s="1" t="s">
        <v>118</v>
      </c>
      <c r="P97" s="1" t="s">
        <v>26</v>
      </c>
    </row>
    <row r="98" customFormat="false" ht="15" hidden="false" customHeight="true" outlineLevel="0" collapsed="false">
      <c r="A98" s="1" t="s">
        <v>119</v>
      </c>
      <c r="B98" s="1" t="s">
        <v>117</v>
      </c>
      <c r="C98" s="1" t="s">
        <v>118</v>
      </c>
      <c r="P98" s="1" t="s">
        <v>26</v>
      </c>
    </row>
    <row r="100" customFormat="false" ht="15" hidden="false" customHeight="true" outlineLevel="0" collapsed="false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FC100" s="0"/>
      <c r="XFD100" s="0"/>
    </row>
    <row r="101" customFormat="false" ht="15" hidden="false" customHeight="true" outlineLevel="0" collapsed="false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FC101" s="0"/>
      <c r="XFD101" s="0"/>
    </row>
    <row r="104" customFormat="false" ht="15" hidden="false" customHeight="true" outlineLevel="0" collapsed="false">
      <c r="A104" s="1" t="s">
        <v>120</v>
      </c>
      <c r="B104" s="1" t="s">
        <v>121</v>
      </c>
      <c r="C104" s="1" t="s">
        <v>122</v>
      </c>
      <c r="P104" s="1" t="s">
        <v>113</v>
      </c>
    </row>
    <row r="105" customFormat="false" ht="15" hidden="false" customHeight="true" outlineLevel="0" collapsed="false">
      <c r="A105" s="1" t="s">
        <v>123</v>
      </c>
      <c r="B105" s="1" t="s">
        <v>121</v>
      </c>
      <c r="C105" s="1" t="s">
        <v>122</v>
      </c>
      <c r="P105" s="1" t="s">
        <v>113</v>
      </c>
    </row>
    <row r="107" customFormat="false" ht="15" hidden="false" customHeight="true" outlineLevel="0" collapsed="false">
      <c r="A107" s="1" t="s">
        <v>124</v>
      </c>
      <c r="B107" s="1" t="s">
        <v>125</v>
      </c>
      <c r="C107" s="1" t="s">
        <v>126</v>
      </c>
      <c r="P107" s="1" t="s">
        <v>113</v>
      </c>
    </row>
    <row r="108" customFormat="false" ht="15" hidden="false" customHeight="true" outlineLevel="0" collapsed="false">
      <c r="A108" s="1" t="s">
        <v>127</v>
      </c>
      <c r="B108" s="1" t="s">
        <v>125</v>
      </c>
      <c r="C108" s="1" t="s">
        <v>126</v>
      </c>
      <c r="P108" s="1" t="s">
        <v>113</v>
      </c>
    </row>
    <row r="110" customFormat="false" ht="15" hidden="false" customHeight="true" outlineLevel="0" collapsed="false">
      <c r="A110" s="1" t="s">
        <v>128</v>
      </c>
      <c r="B110" s="1" t="s">
        <v>129</v>
      </c>
      <c r="C110" s="1" t="s">
        <v>130</v>
      </c>
      <c r="P110" s="1" t="s">
        <v>113</v>
      </c>
      <c r="W110" s="1" t="s">
        <v>131</v>
      </c>
    </row>
    <row r="111" customFormat="false" ht="15" hidden="false" customHeight="true" outlineLevel="0" collapsed="false">
      <c r="A111" s="1" t="s">
        <v>132</v>
      </c>
      <c r="B111" s="1" t="s">
        <v>129</v>
      </c>
      <c r="C111" s="1" t="s">
        <v>130</v>
      </c>
      <c r="P111" s="1" t="s">
        <v>113</v>
      </c>
      <c r="W111" s="1" t="s">
        <v>131</v>
      </c>
    </row>
    <row r="113" customFormat="false" ht="15" hidden="false" customHeight="true" outlineLevel="0" collapsed="false">
      <c r="A113" s="1" t="s">
        <v>133</v>
      </c>
      <c r="B113" s="1" t="s">
        <v>134</v>
      </c>
      <c r="C113" s="1" t="s">
        <v>135</v>
      </c>
      <c r="P113" s="1" t="s">
        <v>26</v>
      </c>
    </row>
    <row r="114" customFormat="false" ht="15" hidden="false" customHeight="true" outlineLevel="0" collapsed="false">
      <c r="A114" s="1" t="s">
        <v>136</v>
      </c>
      <c r="B114" s="1" t="s">
        <v>134</v>
      </c>
      <c r="C114" s="1" t="s">
        <v>135</v>
      </c>
      <c r="P114" s="1" t="s">
        <v>26</v>
      </c>
    </row>
    <row r="116" customFormat="false" ht="15" hidden="false" customHeight="true" outlineLevel="0" collapsed="false">
      <c r="A116" s="1" t="s">
        <v>137</v>
      </c>
      <c r="B116" s="1" t="s">
        <v>138</v>
      </c>
      <c r="C116" s="1" t="s">
        <v>139</v>
      </c>
      <c r="P116" s="1" t="s">
        <v>26</v>
      </c>
    </row>
    <row r="117" customFormat="false" ht="15" hidden="false" customHeight="true" outlineLevel="0" collapsed="false">
      <c r="A117" s="1" t="s">
        <v>140</v>
      </c>
      <c r="B117" s="1" t="s">
        <v>138</v>
      </c>
      <c r="C117" s="1" t="s">
        <v>139</v>
      </c>
      <c r="P117" s="1" t="s">
        <v>26</v>
      </c>
    </row>
    <row r="118" customFormat="false" ht="15" hidden="false" customHeight="true" outlineLevel="0" collapsed="false">
      <c r="A118" s="1" t="s">
        <v>141</v>
      </c>
      <c r="B118" s="1" t="s">
        <v>138</v>
      </c>
      <c r="C118" s="1" t="s">
        <v>139</v>
      </c>
      <c r="P118" s="1" t="s">
        <v>26</v>
      </c>
    </row>
    <row r="119" customFormat="false" ht="15" hidden="false" customHeight="true" outlineLevel="0" collapsed="false">
      <c r="A119" s="1" t="s">
        <v>142</v>
      </c>
      <c r="B119" s="1" t="s">
        <v>138</v>
      </c>
      <c r="C119" s="1" t="s">
        <v>139</v>
      </c>
      <c r="P119" s="1" t="s">
        <v>26</v>
      </c>
    </row>
    <row r="122" customFormat="false" ht="15" hidden="false" customHeight="tru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FC122" s="0"/>
      <c r="XFD122" s="0"/>
    </row>
    <row r="123" customFormat="false" ht="15" hidden="false" customHeight="tru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FC123" s="0"/>
      <c r="XFD123" s="0"/>
    </row>
    <row r="124" customFormat="false" ht="15" hidden="false" customHeight="tru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FC124" s="0"/>
      <c r="XFD124" s="0"/>
    </row>
    <row r="125" customFormat="false" ht="15" hidden="false" customHeight="tru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FC125" s="0"/>
      <c r="XFD125" s="0"/>
    </row>
    <row r="126" customFormat="false" ht="15" hidden="false" customHeight="tru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FC126" s="0"/>
      <c r="XFD126" s="0"/>
    </row>
    <row r="129" customFormat="false" ht="15" hidden="false" customHeight="true" outlineLevel="0" collapsed="false">
      <c r="A129" s="1" t="s">
        <v>143</v>
      </c>
      <c r="B129" s="1" t="s">
        <v>144</v>
      </c>
      <c r="C129" s="1" t="s">
        <v>145</v>
      </c>
      <c r="P129" s="1" t="s">
        <v>26</v>
      </c>
    </row>
    <row r="130" customFormat="false" ht="15" hidden="false" customHeight="true" outlineLevel="0" collapsed="false">
      <c r="A130" s="2" t="s">
        <v>146</v>
      </c>
      <c r="B130" s="1" t="s">
        <v>144</v>
      </c>
      <c r="C130" s="1" t="s">
        <v>145</v>
      </c>
      <c r="P130" s="1" t="s">
        <v>26</v>
      </c>
    </row>
    <row r="133" customFormat="false" ht="15" hidden="false" customHeight="tru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2024-12-11T12:40:08Z</dcterms:created>
  <dc:creator>Christoph Niederalt</dc:creator>
  <dc:description/>
  <dc:language>en-US</dc:language>
  <cp:lastModifiedBy/>
  <dcterms:modified xsi:type="dcterms:W3CDTF">2026-08-13T15:39:53Z</dcterms:modified>
  <cp:revision>52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0x0101005CD2054D3ABF484F92E543C89E08819E</vt:lpwstr>
  </property>
  <property fmtid="{D5CDD505-2E9C-101B-9397-08002B2CF9AE}" pid="3" name="MSIP_Label_7f850223-87a8-40c3-9eb2-432606efca2a_ActionId">
    <vt:lpwstr>108007ec-66e0-4ed6-b15e-68fd92b99f38</vt:lpwstr>
  </property>
  <property fmtid="{D5CDD505-2E9C-101B-9397-08002B2CF9AE}" pid="4" name="MSIP_Label_7f850223-87a8-40c3-9eb2-432606efca2a_ContentBits">
    <vt:lpwstr>0</vt:lpwstr>
  </property>
  <property fmtid="{D5CDD505-2E9C-101B-9397-08002B2CF9AE}" pid="5" name="MSIP_Label_7f850223-87a8-40c3-9eb2-432606efca2a_Enabled">
    <vt:lpwstr>true</vt:lpwstr>
  </property>
  <property fmtid="{D5CDD505-2E9C-101B-9397-08002B2CF9AE}" pid="6" name="MSIP_Label_7f850223-87a8-40c3-9eb2-432606efca2a_Method">
    <vt:lpwstr>Standard</vt:lpwstr>
  </property>
  <property fmtid="{D5CDD505-2E9C-101B-9397-08002B2CF9AE}" pid="7" name="MSIP_Label_7f850223-87a8-40c3-9eb2-432606efca2a_Name">
    <vt:lpwstr>7f850223-87a8-40c3-9eb2-432606efca2a</vt:lpwstr>
  </property>
  <property fmtid="{D5CDD505-2E9C-101B-9397-08002B2CF9AE}" pid="8" name="MSIP_Label_7f850223-87a8-40c3-9eb2-432606efca2a_SetDate">
    <vt:lpwstr>2024-12-11T12:40:16Z</vt:lpwstr>
  </property>
  <property fmtid="{D5CDD505-2E9C-101B-9397-08002B2CF9AE}" pid="9" name="MSIP_Label_7f850223-87a8-40c3-9eb2-432606efca2a_SiteId">
    <vt:lpwstr>fcb2b37b-5da0-466b-9b83-0014b67a7c78</vt:lpwstr>
  </property>
  <property fmtid="{D5CDD505-2E9C-101B-9397-08002B2CF9AE}" pid="10" name="MediaServiceImageTags">
    <vt:lpwstr/>
  </property>
</Properties>
</file>